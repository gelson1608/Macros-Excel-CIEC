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6714\Desktop\Examen Macros\"/>
    </mc:Choice>
  </mc:AlternateContent>
  <bookViews>
    <workbookView xWindow="0" yWindow="0" windowWidth="15480" windowHeight="9615" activeTab="1"/>
  </bookViews>
  <sheets>
    <sheet name="Pregunta01" sheetId="1" r:id="rId1"/>
    <sheet name="Pregunta02" sheetId="2" r:id="rId2"/>
    <sheet name="Pregunta03" sheetId="4" r:id="rId3"/>
    <sheet name="Pregunta04" sheetId="13" r:id="rId4"/>
  </sheets>
  <functionGroups builtInGroupCount="18"/>
  <definedNames>
    <definedName name="_xlnm._FilterDatabase" localSheetId="3" hidden="1">Pregunta04!$A:$D</definedName>
    <definedName name="_xlnm.Extract" localSheetId="3">Pregunta04!$F$15:$I$15</definedName>
    <definedName name="_xlnm.Criteria" localSheetId="3">Pregunta04!$F$9:$H$11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13" l="1"/>
  <c r="F1" i="13"/>
</calcChain>
</file>

<file path=xl/sharedStrings.xml><?xml version="1.0" encoding="utf-8"?>
<sst xmlns="http://schemas.openxmlformats.org/spreadsheetml/2006/main" count="776" uniqueCount="509">
  <si>
    <t>NOMBRES</t>
  </si>
  <si>
    <t>APELLIDOS</t>
  </si>
  <si>
    <t>EDAD</t>
  </si>
  <si>
    <t>SUELDO</t>
  </si>
  <si>
    <t>CARGO</t>
  </si>
  <si>
    <t>TELEFONO</t>
  </si>
  <si>
    <t>DIRECCION</t>
  </si>
  <si>
    <t>DISTRITO</t>
  </si>
  <si>
    <t>E-MAIL</t>
  </si>
  <si>
    <t>Claudia</t>
  </si>
  <si>
    <t>Moreno Gadea</t>
  </si>
  <si>
    <t>ADMINISTRADOR</t>
  </si>
  <si>
    <t>424-5404</t>
  </si>
  <si>
    <t>Recuay 760</t>
  </si>
  <si>
    <t>Ate - Vitarte</t>
  </si>
  <si>
    <t>depdeladraz@terra.dom.pe</t>
  </si>
  <si>
    <t>Carlos</t>
  </si>
  <si>
    <t>Choy Zambrano</t>
  </si>
  <si>
    <t>CONTADOR</t>
  </si>
  <si>
    <t>477-4724</t>
  </si>
  <si>
    <t>Grau 209</t>
  </si>
  <si>
    <t>band_3@yahoo.es</t>
  </si>
  <si>
    <t>Cristina</t>
  </si>
  <si>
    <t>Moreno Olea</t>
  </si>
  <si>
    <t>429-8912</t>
  </si>
  <si>
    <t xml:space="preserve">Av. Bolognesi 229 La Punta </t>
  </si>
  <si>
    <t>depstm@aap.eda.pe</t>
  </si>
  <si>
    <t>López Arroyo</t>
  </si>
  <si>
    <t>INGENIERO</t>
  </si>
  <si>
    <t>477-3862</t>
  </si>
  <si>
    <t>Enrique Barrón 230</t>
  </si>
  <si>
    <t>avanzat@yahoo.es</t>
  </si>
  <si>
    <t>Connie</t>
  </si>
  <si>
    <t xml:space="preserve">Moreno Lopez </t>
  </si>
  <si>
    <t>420-4971</t>
  </si>
  <si>
    <t xml:space="preserve">Atahualpa2708 Laperla  </t>
  </si>
  <si>
    <t>depra@yahoo.dom</t>
  </si>
  <si>
    <t>Carbajal Vilcachagua</t>
  </si>
  <si>
    <t>DOCTOR</t>
  </si>
  <si>
    <t>251-0363</t>
  </si>
  <si>
    <t>Calle Augusto Tamayo Vargas 377</t>
  </si>
  <si>
    <t xml:space="preserve">aaroraello@hotmaal.dom </t>
  </si>
  <si>
    <t>Claudia Irene</t>
  </si>
  <si>
    <t>Moreno Gallardo</t>
  </si>
  <si>
    <t>429-8344</t>
  </si>
  <si>
    <t>Albero Secada 228</t>
  </si>
  <si>
    <t>depfmb@vaabdp.dom</t>
  </si>
  <si>
    <t>451-1257</t>
  </si>
  <si>
    <t>Amancaes 942 Bellavista</t>
  </si>
  <si>
    <t>depmontedarmelo@terra.dom</t>
  </si>
  <si>
    <t>Moreno Silva</t>
  </si>
  <si>
    <t>429-2752</t>
  </si>
  <si>
    <t>Av.Fernandini 330 Sta.Patricia Sur</t>
  </si>
  <si>
    <t>Callao</t>
  </si>
  <si>
    <t>depstter@terra.dom.pe</t>
  </si>
  <si>
    <t>David</t>
  </si>
  <si>
    <t>Arqueros Rodriguez</t>
  </si>
  <si>
    <t>429-6053</t>
  </si>
  <si>
    <t xml:space="preserve">Jr. García Calderón 390 </t>
  </si>
  <si>
    <t>dolegaomonterrado@terra.don.pe</t>
  </si>
  <si>
    <t>Denise</t>
  </si>
  <si>
    <t>Ccorimanya Oré</t>
  </si>
  <si>
    <t>457-5619</t>
  </si>
  <si>
    <t>Mariscal Castilla 798 Urb. Magisterial</t>
  </si>
  <si>
    <t>dolsaazo@pestalozza.eda.de</t>
  </si>
  <si>
    <t>Dani</t>
  </si>
  <si>
    <t>Moscoso</t>
  </si>
  <si>
    <t>420-8792</t>
  </si>
  <si>
    <t>Calle Vallerriestra Mz. A Lte. 24</t>
  </si>
  <si>
    <t>doeelan@amaata.rep.net.pe</t>
  </si>
  <si>
    <t>Dedos</t>
  </si>
  <si>
    <t>Castro Quispe</t>
  </si>
  <si>
    <t>452-2963</t>
  </si>
  <si>
    <t>Los Alhelíes 269 Urb. Jardines Virú</t>
  </si>
  <si>
    <t>dolpan@terra.dom.pe</t>
  </si>
  <si>
    <t>Dalila</t>
  </si>
  <si>
    <t xml:space="preserve">Mori </t>
  </si>
  <si>
    <t>420-9225</t>
  </si>
  <si>
    <t>Calle Alberto Sabogal 236</t>
  </si>
  <si>
    <t>dmlpsdar@newaddes.dom.pe</t>
  </si>
  <si>
    <t>Debora</t>
  </si>
  <si>
    <t>Castillo Lopez</t>
  </si>
  <si>
    <t>420-2523</t>
  </si>
  <si>
    <t>Lambayeque 299 Urb. Sta.Luisa</t>
  </si>
  <si>
    <t>dollege@newton.eda.pe</t>
  </si>
  <si>
    <t>Crox</t>
  </si>
  <si>
    <t>Morgan</t>
  </si>
  <si>
    <t>429-4890</t>
  </si>
  <si>
    <t xml:space="preserve">Av.Saenz Peña 2330 Bellavista </t>
  </si>
  <si>
    <t>dep-tborea@tsa.dom.pe</t>
  </si>
  <si>
    <t>Cruzbel</t>
  </si>
  <si>
    <t>420-5517</t>
  </si>
  <si>
    <t xml:space="preserve">Cahuide 2280 La Perla </t>
  </si>
  <si>
    <t>dhs@amerada.eda.pe</t>
  </si>
  <si>
    <t>Briceño Torres</t>
  </si>
  <si>
    <t>429-5696</t>
  </si>
  <si>
    <t>Jr. Unión 363 La Perla</t>
  </si>
  <si>
    <t>dolegreg@anfonegodaos.dom.pe</t>
  </si>
  <si>
    <t>Baca Lopez</t>
  </si>
  <si>
    <t>465-1565</t>
  </si>
  <si>
    <t>Jr. Nicolas De Pierola 390 Callao</t>
  </si>
  <si>
    <t>dolegaosantander@hotmaal.dom</t>
  </si>
  <si>
    <t>Carmona Navarrete</t>
  </si>
  <si>
    <t>429-6849</t>
  </si>
  <si>
    <t xml:space="preserve">Jr.Bolognesi 494 Bellavista </t>
  </si>
  <si>
    <t>dolereadhe@terramaal.dom.pe</t>
  </si>
  <si>
    <t>Carrillo Huaman</t>
  </si>
  <si>
    <t>465-4458</t>
  </si>
  <si>
    <t>La Paz 994 La Perla Alta</t>
  </si>
  <si>
    <t>dolg.baonarrota@goalsnet.dom</t>
  </si>
  <si>
    <t>Diana</t>
  </si>
  <si>
    <t>Conillslla Castro</t>
  </si>
  <si>
    <t>420-5533</t>
  </si>
  <si>
    <t>Ramón Castilla Cdra.8 La Punta</t>
  </si>
  <si>
    <t>dorreo@redoleta.eda.pe</t>
  </si>
  <si>
    <t>Changanaqui Rivera</t>
  </si>
  <si>
    <t>429-6450</t>
  </si>
  <si>
    <t>Nicolás De Pierola 290 Bellavista</t>
  </si>
  <si>
    <t>dolvadt@terra.dom.pe</t>
  </si>
  <si>
    <t>Chuquillanqui Izarra</t>
  </si>
  <si>
    <t>420-6052</t>
  </si>
  <si>
    <t xml:space="preserve">Ramon Castilla 992 La Perla </t>
  </si>
  <si>
    <t>donfadao@malldom.dom.pe</t>
  </si>
  <si>
    <t>Hjalmar</t>
  </si>
  <si>
    <t>Mendoza Cano</t>
  </si>
  <si>
    <t>463-1044</t>
  </si>
  <si>
    <t>Estados Unidos 732</t>
  </si>
  <si>
    <t>Chorrillos</t>
  </si>
  <si>
    <t>joseaendanas@terradom</t>
  </si>
  <si>
    <t>Hilda</t>
  </si>
  <si>
    <t>Mendieta Inga</t>
  </si>
  <si>
    <t>463-4478</t>
  </si>
  <si>
    <t>Estados Unidos 969</t>
  </si>
  <si>
    <t>joky@apea..pda.pe</t>
  </si>
  <si>
    <t xml:space="preserve">Hernan </t>
  </si>
  <si>
    <t>Menacho Pesse</t>
  </si>
  <si>
    <t>471-3948</t>
  </si>
  <si>
    <t>Capac Yupanqui 2099</t>
  </si>
  <si>
    <t xml:space="preserve">jhonneper@hotmaal.dom </t>
  </si>
  <si>
    <t>Hugo</t>
  </si>
  <si>
    <t>Meza Meza</t>
  </si>
  <si>
    <t>423-8369</t>
  </si>
  <si>
    <t>Jose María Plaza 227</t>
  </si>
  <si>
    <t>la_reparadaon@yahoo.dom</t>
  </si>
  <si>
    <t>Hugo Emilio</t>
  </si>
  <si>
    <t>Navarro Cavero</t>
  </si>
  <si>
    <t>471-5220</t>
  </si>
  <si>
    <t xml:space="preserve">Jr.Coronel Zegarra 2220 </t>
  </si>
  <si>
    <t>lasalle@lallated.dom.pe</t>
  </si>
  <si>
    <t>Humbelino</t>
  </si>
  <si>
    <t>Ocaña Ramos</t>
  </si>
  <si>
    <t>423-1262</t>
  </si>
  <si>
    <t xml:space="preserve">Jr.Los Mogaburos 248 </t>
  </si>
  <si>
    <t>lasoft@terra.dom.pe</t>
  </si>
  <si>
    <t>Humberto</t>
  </si>
  <si>
    <t>Palacios Chavez</t>
  </si>
  <si>
    <t>471-6441</t>
  </si>
  <si>
    <t>Pumacahua 2300</t>
  </si>
  <si>
    <t>lasson@dlb.eda.pe</t>
  </si>
  <si>
    <t xml:space="preserve">Humberto </t>
  </si>
  <si>
    <t>Pando Huaman</t>
  </si>
  <si>
    <t>463-7953</t>
  </si>
  <si>
    <t xml:space="preserve">Río De Janeiro 349 </t>
  </si>
  <si>
    <t>lmdseda@terra.dom.pe</t>
  </si>
  <si>
    <t>Mendoza Fuentes</t>
  </si>
  <si>
    <t>MARKETING</t>
  </si>
  <si>
    <t>463-9160</t>
  </si>
  <si>
    <t>Gregorio Escovedo 899</t>
  </si>
  <si>
    <t>karenhorney@terra.dom.pe</t>
  </si>
  <si>
    <t>Mendoza Jimenez</t>
  </si>
  <si>
    <t>332-3958</t>
  </si>
  <si>
    <t xml:space="preserve">Horacio Hurteaga 788 </t>
  </si>
  <si>
    <t>kenedy@terra.dom.pe</t>
  </si>
  <si>
    <t>Pariona Quispe</t>
  </si>
  <si>
    <t>365-0298</t>
  </si>
  <si>
    <t>Av. La Arboleda 289</t>
  </si>
  <si>
    <t>La Molina</t>
  </si>
  <si>
    <t>logaada@hotmaal.dom</t>
  </si>
  <si>
    <t>Ibi</t>
  </si>
  <si>
    <t>Peña Viera</t>
  </si>
  <si>
    <t>349-6092</t>
  </si>
  <si>
    <t>Av. La Fontana 799</t>
  </si>
  <si>
    <t>lrr@losreyesrojos.eda.pe</t>
  </si>
  <si>
    <t xml:space="preserve">Julio </t>
  </si>
  <si>
    <t>Avellaneda Gutierrez</t>
  </si>
  <si>
    <t>479-0460</t>
  </si>
  <si>
    <t>Ricardo Elías Aparicio 240</t>
  </si>
  <si>
    <t>damasatadoz@latanmaal.dom</t>
  </si>
  <si>
    <t>Julio Cesar</t>
  </si>
  <si>
    <t>Calderon Cooban</t>
  </si>
  <si>
    <t>348-6044</t>
  </si>
  <si>
    <t>Ricardo Palma Mz. V Lte. Covima</t>
  </si>
  <si>
    <t>darbajalang.j.w.@hormaal.dom</t>
  </si>
  <si>
    <t>Julissa</t>
  </si>
  <si>
    <t>Cama De La Cruz</t>
  </si>
  <si>
    <t>348-6033</t>
  </si>
  <si>
    <t>Ricardo Palma Mz.W Lt. 33 Covima</t>
  </si>
  <si>
    <t>darlasdhmael@latanmaal.dom</t>
  </si>
  <si>
    <t xml:space="preserve">July </t>
  </si>
  <si>
    <t>Cardenas Quispe</t>
  </si>
  <si>
    <t>368-0495</t>
  </si>
  <si>
    <t>Rinconada Del Lago 679</t>
  </si>
  <si>
    <t>darlad@terra.dom.pe</t>
  </si>
  <si>
    <t>Karin</t>
  </si>
  <si>
    <t>Carhuachin Vasquez</t>
  </si>
  <si>
    <t>437-1163</t>
  </si>
  <si>
    <t>Vía Evitamiento S-N Villa FAP Camacho</t>
  </si>
  <si>
    <t>darlos@asoamsa.homelanax.net</t>
  </si>
  <si>
    <t>Karina</t>
  </si>
  <si>
    <t>Chaupin Sierra</t>
  </si>
  <si>
    <t>479-1717</t>
  </si>
  <si>
    <t>Viña Del Mar 379 Sol De La Molina</t>
  </si>
  <si>
    <t>dztaesta@yahoo.dom</t>
  </si>
  <si>
    <t xml:space="preserve">Laura </t>
  </si>
  <si>
    <t>Obregon Conza</t>
  </si>
  <si>
    <t>323-2903</t>
  </si>
  <si>
    <t>Julio Rivero 282 Urb.Apolo 2da.  Etapa</t>
  </si>
  <si>
    <t>Jesús María</t>
  </si>
  <si>
    <t>deljaga@latanmaal.dom</t>
  </si>
  <si>
    <t>Leonel Joel</t>
  </si>
  <si>
    <t>Pazos Lopez</t>
  </si>
  <si>
    <t>224-8566</t>
  </si>
  <si>
    <t>Las Brisas 328 Tupac Amaru</t>
  </si>
  <si>
    <t>detalad2@ed-red.dom</t>
  </si>
  <si>
    <t xml:space="preserve">Leslie </t>
  </si>
  <si>
    <t>Peña Cardenas</t>
  </si>
  <si>
    <t>472-0230</t>
  </si>
  <si>
    <t xml:space="preserve">Los Diamantes 402 Balconcillo </t>
  </si>
  <si>
    <t>dgomezq@latanmaal.dom</t>
  </si>
  <si>
    <t>Ramos Perez</t>
  </si>
  <si>
    <t>265-1463</t>
  </si>
  <si>
    <t>Max Gonzáles Olaechea 230 Sta.Catalina</t>
  </si>
  <si>
    <t>dlaadaa_aha@latanmaal.dom</t>
  </si>
  <si>
    <t>Curay Carrasco</t>
  </si>
  <si>
    <t>472-7939</t>
  </si>
  <si>
    <t>Abtao 2200 Unidad Vecinal De Matute</t>
  </si>
  <si>
    <t>darmenarevalo98@latanmaal.dom</t>
  </si>
  <si>
    <t>Karla</t>
  </si>
  <si>
    <t>Durand Cordova</t>
  </si>
  <si>
    <t>472-0788</t>
  </si>
  <si>
    <t>Av. Canada 4ta.Cuadra Balconcillo</t>
  </si>
  <si>
    <t>darmende@yahoo.dom</t>
  </si>
  <si>
    <t>Katia</t>
  </si>
  <si>
    <t>Egusquiza Damian</t>
  </si>
  <si>
    <t>323-7821</t>
  </si>
  <si>
    <t>Av.Isabel La Católica2290</t>
  </si>
  <si>
    <t>dbma@danersdlab.dom.pe</t>
  </si>
  <si>
    <t>Fiestas Arevalo</t>
  </si>
  <si>
    <t>473-0196</t>
  </si>
  <si>
    <t xml:space="preserve">Bausate Y Meza 2006 San Cosme </t>
  </si>
  <si>
    <t>ddhadate@danersdlab.dom.pe</t>
  </si>
  <si>
    <t>Kelit Joseph</t>
  </si>
  <si>
    <t>Gurmendi Berrios</t>
  </si>
  <si>
    <t>472-1576</t>
  </si>
  <si>
    <t>Campodónico 689 Sta. Catalina</t>
  </si>
  <si>
    <t>dedalaaorrego2003@yahoo.dom</t>
  </si>
  <si>
    <t>Laura</t>
  </si>
  <si>
    <t>Hurtado Urbina</t>
  </si>
  <si>
    <t>323-0105</t>
  </si>
  <si>
    <t>Francisco Rivas 994</t>
  </si>
  <si>
    <t>dedarae83@yahoo.dom</t>
  </si>
  <si>
    <t>Jamanca Leyva</t>
  </si>
  <si>
    <t>470-9172</t>
  </si>
  <si>
    <t>Juan Voto Bernales 422 Sta.Catalina</t>
  </si>
  <si>
    <t>dedala01@ed-red.dom</t>
  </si>
  <si>
    <t>Luis</t>
  </si>
  <si>
    <t>Garcia Solis</t>
  </si>
  <si>
    <t>564-0317</t>
  </si>
  <si>
    <t>Tnte. Aristides Del Carpio Muñoz 2264</t>
  </si>
  <si>
    <t>Lima</t>
  </si>
  <si>
    <t>espanozamedana@latanmaal.dom</t>
  </si>
  <si>
    <t>Gomez Correa</t>
  </si>
  <si>
    <t>470-0439</t>
  </si>
  <si>
    <t>Av.Arequipa 2396</t>
  </si>
  <si>
    <t>pestrada@ana.eda.pe</t>
  </si>
  <si>
    <t>Luisa</t>
  </si>
  <si>
    <t>Gomez Guillen</t>
  </si>
  <si>
    <t>471-6333</t>
  </si>
  <si>
    <t>Av.Canevaro 990</t>
  </si>
  <si>
    <t>evdha1505@latanmaal.dom</t>
  </si>
  <si>
    <t>Luz Marina</t>
  </si>
  <si>
    <t>Gomez Roa</t>
  </si>
  <si>
    <t>471-0242</t>
  </si>
  <si>
    <t>Av.Petitt Thouars 2849</t>
  </si>
  <si>
    <t>evelyn8@latanmaal.dom</t>
  </si>
  <si>
    <t>Luzmila</t>
  </si>
  <si>
    <t>Gongora Ponpilla</t>
  </si>
  <si>
    <t>470-0912</t>
  </si>
  <si>
    <t>Joaquin Bernal 690</t>
  </si>
  <si>
    <t>fanny_arteaga@latanmaal.dom</t>
  </si>
  <si>
    <t>Lyliana</t>
  </si>
  <si>
    <t>Gonzales Rueda</t>
  </si>
  <si>
    <t>471-1789</t>
  </si>
  <si>
    <t xml:space="preserve">Manco Segundo 2237 </t>
  </si>
  <si>
    <t>felanany@latanmaal.dom</t>
  </si>
  <si>
    <t>Magaly</t>
  </si>
  <si>
    <t>Gordillo Guadalupe</t>
  </si>
  <si>
    <t>471-3158</t>
  </si>
  <si>
    <t>Merino 2936</t>
  </si>
  <si>
    <t>gabymendaeta@latanmaal.dom</t>
  </si>
  <si>
    <t>Manuel</t>
  </si>
  <si>
    <t>Guerrero Cuevas</t>
  </si>
  <si>
    <t>471-1729</t>
  </si>
  <si>
    <t>Peset Y Monel 2074</t>
  </si>
  <si>
    <t>galardon63@latanmaal.dom</t>
  </si>
  <si>
    <t>Marita</t>
  </si>
  <si>
    <t>Guillen Bravo</t>
  </si>
  <si>
    <t>471-0191</t>
  </si>
  <si>
    <t>Pumacahua 2290</t>
  </si>
  <si>
    <t>gallaadas@latanmaal.dom</t>
  </si>
  <si>
    <t>Pablo</t>
  </si>
  <si>
    <t>Neyra Mateo</t>
  </si>
  <si>
    <t>463-2045</t>
  </si>
  <si>
    <t>Av.Vivanco 922</t>
  </si>
  <si>
    <t>Los Olivos</t>
  </si>
  <si>
    <t>lab_pladentalafe@latanmaal.dom</t>
  </si>
  <si>
    <t>Ocaña Mori</t>
  </si>
  <si>
    <t>463-0588</t>
  </si>
  <si>
    <t xml:space="preserve">Daniel A. Robles 380 </t>
  </si>
  <si>
    <t>lagorrattad@latanmaal.dom</t>
  </si>
  <si>
    <t>Paola</t>
  </si>
  <si>
    <t>Ore Mego</t>
  </si>
  <si>
    <t>423-7733</t>
  </si>
  <si>
    <t xml:space="preserve">Paso De Los Andes 920 </t>
  </si>
  <si>
    <t>lamorosata@latanmaal.dom</t>
  </si>
  <si>
    <t>Paola Patricia</t>
  </si>
  <si>
    <t>Ortiz Guadalupe</t>
  </si>
  <si>
    <t>276-6841</t>
  </si>
  <si>
    <t>Av.Jose Del Carmen Verástegui 290</t>
  </si>
  <si>
    <t>lbardales@maqaasastema.dom.pe</t>
  </si>
  <si>
    <t>Patricia</t>
  </si>
  <si>
    <t>Ortiz Yachachin</t>
  </si>
  <si>
    <t>466-5730</t>
  </si>
  <si>
    <t xml:space="preserve">Av.Los Heroes 940 Urb.San Juan </t>
  </si>
  <si>
    <t>lebensworter@latanmaal.dom</t>
  </si>
  <si>
    <t>Oviedo More</t>
  </si>
  <si>
    <t>466-1217</t>
  </si>
  <si>
    <t>Esq. Con Genaro Muma Llona 2002</t>
  </si>
  <si>
    <t>leyda_20@latanmaal.dom</t>
  </si>
  <si>
    <t>Peggy</t>
  </si>
  <si>
    <t>Palomino Aballi</t>
  </si>
  <si>
    <t>466-0077</t>
  </si>
  <si>
    <t>Joaquín Bernal 370</t>
  </si>
  <si>
    <t>lalyromerod@latanmaal.dom</t>
  </si>
  <si>
    <t xml:space="preserve">Philip </t>
  </si>
  <si>
    <t>Palomino Castro</t>
  </si>
  <si>
    <t>466-3688</t>
  </si>
  <si>
    <t>Pedro Bertonelli 627 Zona.A</t>
  </si>
  <si>
    <t>ljderna@latanmaal.dom</t>
  </si>
  <si>
    <t>Pariona Ramirez</t>
  </si>
  <si>
    <t>346-0161</t>
  </si>
  <si>
    <t xml:space="preserve">Av. San Luis 2889 </t>
  </si>
  <si>
    <t>San Borja</t>
  </si>
  <si>
    <t>lorenapaedra22@yahoo.es</t>
  </si>
  <si>
    <t>Rafael</t>
  </si>
  <si>
    <t>Piñas Castro</t>
  </si>
  <si>
    <t>372-1390</t>
  </si>
  <si>
    <t>Calle 2 #202</t>
  </si>
  <si>
    <t>lqaarozp@latanmaal.dom</t>
  </si>
  <si>
    <t>Pilar</t>
  </si>
  <si>
    <t>Panta Navarrete</t>
  </si>
  <si>
    <t>435-7003</t>
  </si>
  <si>
    <t xml:space="preserve">Av. Redon 228 </t>
  </si>
  <si>
    <t>loaaza_dlark@latanmaal.dom</t>
  </si>
  <si>
    <t>Pilar Castillejo</t>
  </si>
  <si>
    <t>346-0279</t>
  </si>
  <si>
    <t xml:space="preserve">Bartolome Bermejo 248 </t>
  </si>
  <si>
    <t>lpalomano@ntnet.dom.pe</t>
  </si>
  <si>
    <t>Panduro De Souza</t>
  </si>
  <si>
    <t>436-0066</t>
  </si>
  <si>
    <t>Av De Las Artes</t>
  </si>
  <si>
    <t>ljqh@maal.24horas.dom</t>
  </si>
  <si>
    <t>Peña Rivas</t>
  </si>
  <si>
    <t>476-9657</t>
  </si>
  <si>
    <t>Aviación 3067</t>
  </si>
  <si>
    <t>Profesor</t>
  </si>
  <si>
    <t>Peña Bellido</t>
  </si>
  <si>
    <t>475-8903</t>
  </si>
  <si>
    <t>Av.Tasso 469</t>
  </si>
  <si>
    <t>lorenav_r@latanmaal.dom</t>
  </si>
  <si>
    <t>Raul</t>
  </si>
  <si>
    <t>Plaza Urbina</t>
  </si>
  <si>
    <t>225-6210</t>
  </si>
  <si>
    <t xml:space="preserve">Calle Gamma E2 Urb.Juan XXIII </t>
  </si>
  <si>
    <t>lsalva@agrarao.manag.eda.pe</t>
  </si>
  <si>
    <t>Pebes Rocca</t>
  </si>
  <si>
    <t>476-5394</t>
  </si>
  <si>
    <t xml:space="preserve">Av.Aviación B-6 Cdra. 36 </t>
  </si>
  <si>
    <t>Raida</t>
  </si>
  <si>
    <t>Pizarro Soto</t>
  </si>
  <si>
    <t>475--9560</t>
  </si>
  <si>
    <t>Calle 32 Nro.979</t>
  </si>
  <si>
    <t>lra_meo@latanmaal.dom</t>
  </si>
  <si>
    <t xml:space="preserve">Anibal </t>
  </si>
  <si>
    <t>Saldarriaga Cavero</t>
  </si>
  <si>
    <t>263-3726</t>
  </si>
  <si>
    <t>Jr.Sucre 679</t>
  </si>
  <si>
    <t>San Miguel</t>
  </si>
  <si>
    <t>mmendozar@bsdh.dom.pe</t>
  </si>
  <si>
    <t>Harry Christian</t>
  </si>
  <si>
    <t>Salcedo Gavidia</t>
  </si>
  <si>
    <t>566-0450</t>
  </si>
  <si>
    <t xml:space="preserve">Jr..Inclan 390 Mirara </t>
  </si>
  <si>
    <t>Leopoldo Felipe</t>
  </si>
  <si>
    <t>Salazar Dueñas</t>
  </si>
  <si>
    <t>420-3379</t>
  </si>
  <si>
    <t>Cesar Vallejo 289</t>
  </si>
  <si>
    <t>mmananta@telematad.eda.pe</t>
  </si>
  <si>
    <t>Denis</t>
  </si>
  <si>
    <t>Sandoval Romani</t>
  </si>
  <si>
    <t>451-1914</t>
  </si>
  <si>
    <t xml:space="preserve">Saicusca 262 Maranga </t>
  </si>
  <si>
    <t>mond@adss.eda.pe</t>
  </si>
  <si>
    <t>Mayra</t>
  </si>
  <si>
    <t>Sanchez Gutierrez</t>
  </si>
  <si>
    <t>578-2077</t>
  </si>
  <si>
    <t>Los Patriotas 996</t>
  </si>
  <si>
    <t>Benilda</t>
  </si>
  <si>
    <t>Sanchez Perez</t>
  </si>
  <si>
    <t>451-0353</t>
  </si>
  <si>
    <t xml:space="preserve">Parque Las Leyendas 999 Maranga </t>
  </si>
  <si>
    <t>Luis Angel</t>
  </si>
  <si>
    <t>Sanchez Ayala</t>
  </si>
  <si>
    <t>451-8241</t>
  </si>
  <si>
    <t>Londres 284 Residencial Callao</t>
  </si>
  <si>
    <t>Victor German</t>
  </si>
  <si>
    <t>De La Cruz Solis</t>
  </si>
  <si>
    <t>437-3117</t>
  </si>
  <si>
    <t>Pio Xii 398 Monterrico</t>
  </si>
  <si>
    <t>Surco</t>
  </si>
  <si>
    <t>qava_80@latanmaal.dom</t>
  </si>
  <si>
    <t>Wilmer</t>
  </si>
  <si>
    <t>Espinoza Navarro</t>
  </si>
  <si>
    <t>436-0151</t>
  </si>
  <si>
    <t>Vía Lactea 449 Monterrico</t>
  </si>
  <si>
    <t>rodada@latanmaal.dom</t>
  </si>
  <si>
    <t>Victor Arturo</t>
  </si>
  <si>
    <t>De La Cruz Rojas</t>
  </si>
  <si>
    <t>448-1222</t>
  </si>
  <si>
    <t xml:space="preserve">Paseo La Castellana 929 </t>
  </si>
  <si>
    <t>kvargas@onpe.gob.pe</t>
  </si>
  <si>
    <t>Espinoza Medina</t>
  </si>
  <si>
    <t>344-2203</t>
  </si>
  <si>
    <t>Tomasal 399</t>
  </si>
  <si>
    <t>rmmendozaa@gmd.dom.pe</t>
  </si>
  <si>
    <t xml:space="preserve">Victor </t>
  </si>
  <si>
    <t>De La Cruz Pipa</t>
  </si>
  <si>
    <t>435-0901</t>
  </si>
  <si>
    <t>Osa Mayor 229 Monterrico</t>
  </si>
  <si>
    <t>jvargas@onpe.gob.pe</t>
  </si>
  <si>
    <t>Vladimir</t>
  </si>
  <si>
    <t>Espejo Davila</t>
  </si>
  <si>
    <t>274-3203</t>
  </si>
  <si>
    <t xml:space="preserve">Tomas Marsano 4844 San Roque </t>
  </si>
  <si>
    <t>rjamenez@rapley.dom.pe</t>
  </si>
  <si>
    <t>Diaz Espinoza</t>
  </si>
  <si>
    <t>448-1111</t>
  </si>
  <si>
    <t>Surco 299 Los Rosales Ii Etapa</t>
  </si>
  <si>
    <t>rbenates@danersdlab.dom.pe</t>
  </si>
  <si>
    <t>Victoria</t>
  </si>
  <si>
    <t>Del Aguila Sanchez</t>
  </si>
  <si>
    <t>477-8760</t>
  </si>
  <si>
    <t xml:space="preserve">Prolg.José Galvez S/N Cdra.3 </t>
  </si>
  <si>
    <t>raaldasnerosarr@latanmaal.dom</t>
  </si>
  <si>
    <t>Vitia</t>
  </si>
  <si>
    <t>Del Castillo Benites</t>
  </si>
  <si>
    <t>477-2213</t>
  </si>
  <si>
    <t>Prolg.Venegas 297</t>
  </si>
  <si>
    <t>ravanesxespanoza@latanmaal.dom</t>
  </si>
  <si>
    <t>Wiston</t>
  </si>
  <si>
    <t>Farje Herrera</t>
  </si>
  <si>
    <t>449-8712</t>
  </si>
  <si>
    <t xml:space="preserve">Alfa Escorpion Mz. M 8 La Calera </t>
  </si>
  <si>
    <t>rodhdale@telefonada.net.pe</t>
  </si>
  <si>
    <t>Enviar datos</t>
  </si>
  <si>
    <t>Recibir datos</t>
  </si>
  <si>
    <t>DOCUMENTO</t>
  </si>
  <si>
    <t>DNI</t>
  </si>
  <si>
    <t>NOMBRE</t>
  </si>
  <si>
    <t>APELLIDO</t>
  </si>
  <si>
    <t>ESTADO_CIVIL</t>
  </si>
  <si>
    <t>NUMERO</t>
  </si>
  <si>
    <t>CUMPLEAÑOS</t>
  </si>
  <si>
    <t>Carmen</t>
  </si>
  <si>
    <t>Bernardo</t>
  </si>
  <si>
    <t>Jose</t>
  </si>
  <si>
    <t>Maria</t>
  </si>
  <si>
    <t>Antonio</t>
  </si>
  <si>
    <t>Marta</t>
  </si>
  <si>
    <t>Pedro</t>
  </si>
  <si>
    <t>Fernando</t>
  </si>
  <si>
    <t>Victor</t>
  </si>
  <si>
    <t>Elena</t>
  </si>
  <si>
    <t>Gabriel</t>
  </si>
  <si>
    <t>Javier</t>
  </si>
  <si>
    <t>Nombre</t>
  </si>
  <si>
    <t>Importe</t>
  </si>
  <si>
    <t>Factura</t>
  </si>
  <si>
    <t>Fecha</t>
  </si>
  <si>
    <t>Desarrolle el formulario frmCompra (6 puntos)</t>
  </si>
  <si>
    <t>?A*</t>
  </si>
  <si>
    <t>&gt;30.00</t>
  </si>
  <si>
    <t>M*</t>
  </si>
  <si>
    <t>C*</t>
  </si>
  <si>
    <t>carlos</t>
  </si>
  <si>
    <t>carrillo</t>
  </si>
  <si>
    <t>soltero</t>
  </si>
  <si>
    <t>16/08/2016</t>
  </si>
  <si>
    <t>diablo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</si>
</sst>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 * #,##0.00_ ;_ * \-#,##0.00_ ;_ * &quot;-&quot;??_ ;_ @_ "/>
    <numFmt numFmtId="164" formatCode="_-* #,##0.00\ _€_-;\-* #,##0.00\ _€_-;_-* &quot;-&quot;??\ _€_-;_-@_-"/>
    <numFmt numFmtId="165" formatCode="dd\-mm\-yy;@"/>
    <numFmt numFmtId="166" formatCode="[$-C0A]d\-mmm\-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ahoma"/>
      <family val="2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3" borderId="0" xfId="0" quotePrefix="1" applyFill="1"/>
    <xf numFmtId="164" fontId="0" fillId="0" borderId="0" xfId="1" applyFont="1" applyAlignment="1">
      <alignment horizontal="left" vertical="center"/>
    </xf>
    <xf numFmtId="43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165" fontId="0" fillId="0" borderId="0" xfId="0" applyNumberFormat="1" applyAlignment="1">
      <alignment vertical="center"/>
    </xf>
    <xf numFmtId="165" fontId="0" fillId="0" borderId="0" xfId="0" applyNumberFormat="1"/>
    <xf numFmtId="0" fontId="3" fillId="4" borderId="1" xfId="1" applyNumberFormat="1" applyFont="1" applyFill="1" applyBorder="1" applyAlignment="1">
      <alignment horizontal="center" vertical="center"/>
    </xf>
    <xf numFmtId="0" fontId="3" fillId="4" borderId="1" xfId="0" applyNumberFormat="1" applyFont="1" applyFill="1" applyBorder="1" applyAlignment="1">
      <alignment horizontal="center" vertical="center"/>
    </xf>
    <xf numFmtId="1" fontId="3" fillId="4" borderId="1" xfId="0" applyNumberFormat="1" applyFont="1" applyFill="1" applyBorder="1" applyAlignment="1">
      <alignment horizontal="center" vertical="center"/>
    </xf>
    <xf numFmtId="166" fontId="3" fillId="4" borderId="1" xfId="0" applyNumberFormat="1" applyFont="1" applyFill="1" applyBorder="1" applyAlignment="1">
      <alignment horizontal="center" vertical="center"/>
    </xf>
    <xf numFmtId="164" fontId="5" fillId="0" borderId="0" xfId="1" applyFont="1" applyAlignment="1">
      <alignment horizontal="left" vertical="center"/>
    </xf>
    <xf numFmtId="0" fontId="4" fillId="0" borderId="0" xfId="0" applyFont="1"/>
    <xf numFmtId="16" fontId="0" fillId="3" borderId="0" xfId="0" applyNumberFormat="1" applyFill="1"/>
    <xf numFmtId="0" fontId="0" fillId="5" borderId="2" xfId="0" applyFill="1" applyBorder="1"/>
    <xf numFmtId="0" fontId="0" fillId="5" borderId="2" xfId="0" applyFill="1" applyBorder="1" applyAlignment="1">
      <alignment horizontal="center"/>
    </xf>
    <xf numFmtId="0" fontId="0" fillId="0" borderId="2" xfId="0" applyBorder="1"/>
  </cellXfs>
  <cellStyles count="2">
    <cellStyle name="Millares 2" xfId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1</xdr:rowOff>
    </xdr:from>
    <xdr:to>
      <xdr:col>17</xdr:col>
      <xdr:colOff>9525</xdr:colOff>
      <xdr:row>4</xdr:row>
      <xdr:rowOff>38101</xdr:rowOff>
    </xdr:to>
    <xdr:sp macro="" textlink="">
      <xdr:nvSpPr>
        <xdr:cNvPr id="2" name="Text Box 2" descr="Pergamino"/>
        <xdr:cNvSpPr txBox="1">
          <a:spLocks noChangeArrowheads="1"/>
        </xdr:cNvSpPr>
      </xdr:nvSpPr>
      <xdr:spPr bwMode="auto">
        <a:xfrm>
          <a:off x="11220450" y="1"/>
          <a:ext cx="5343525" cy="800100"/>
        </a:xfrm>
        <a:prstGeom prst="rect">
          <a:avLst/>
        </a:prstGeom>
        <a:ln>
          <a:headEnd/>
          <a:tailEnd/>
        </a:ln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wrap="square" lIns="27432" tIns="27432" rIns="27432" bIns="0" anchor="t" upright="1"/>
        <a:lstStyle/>
        <a:p>
          <a:pPr marL="457200" lvl="1" indent="0" algn="l" rtl="0">
            <a:defRPr sz="1000"/>
          </a:pPr>
          <a:r>
            <a:rPr lang="es-ES" sz="1200" b="1" i="0" u="none" strike="noStrike" baseline="0">
              <a:solidFill>
                <a:srgbClr val="000080"/>
              </a:solidFill>
              <a:latin typeface="+mn-lt"/>
              <a:ea typeface="+mn-ea"/>
              <a:cs typeface="+mn-cs"/>
            </a:rPr>
            <a:t>Desarrolle una tabla dinámica con macros en una hoja "Resultados1"</a:t>
          </a:r>
        </a:p>
        <a:p>
          <a:pPr marL="457200" lvl="1" indent="0" algn="l" rtl="0">
            <a:defRPr sz="1000"/>
          </a:pPr>
          <a:r>
            <a:rPr lang="es-ES" sz="1200" b="1" i="0" u="none" strike="noStrike" baseline="0">
              <a:solidFill>
                <a:srgbClr val="000080"/>
              </a:solidFill>
              <a:latin typeface="+mn-lt"/>
              <a:ea typeface="+mn-ea"/>
              <a:cs typeface="+mn-cs"/>
            </a:rPr>
            <a:t>- Si la hoja existe debe eliminarla y volver a crearla (1 puntos)</a:t>
          </a:r>
        </a:p>
        <a:p>
          <a:pPr marL="457200" lvl="1" indent="0" algn="l" rtl="0">
            <a:defRPr sz="1000"/>
          </a:pPr>
          <a:r>
            <a:rPr lang="es-ES" sz="1200" b="1" i="0" u="none" strike="noStrike" baseline="0">
              <a:solidFill>
                <a:srgbClr val="000080"/>
              </a:solidFill>
              <a:latin typeface="+mn-lt"/>
              <a:ea typeface="+mn-ea"/>
              <a:cs typeface="+mn-cs"/>
            </a:rPr>
            <a:t>- Debe generar el siguiente resultado (2 puntos)</a:t>
          </a:r>
        </a:p>
      </xdr:txBody>
    </xdr:sp>
    <xdr:clientData/>
  </xdr:twoCellAnchor>
  <xdr:twoCellAnchor editAs="oneCell">
    <xdr:from>
      <xdr:col>10</xdr:col>
      <xdr:colOff>476250</xdr:colOff>
      <xdr:row>4</xdr:row>
      <xdr:rowOff>133350</xdr:rowOff>
    </xdr:from>
    <xdr:to>
      <xdr:col>13</xdr:col>
      <xdr:colOff>657569</xdr:colOff>
      <xdr:row>11</xdr:row>
      <xdr:rowOff>143062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96700" y="895350"/>
          <a:ext cx="2467319" cy="1343212"/>
        </a:xfrm>
        <a:prstGeom prst="rect">
          <a:avLst/>
        </a:prstGeom>
      </xdr:spPr>
    </xdr:pic>
    <xdr:clientData/>
  </xdr:twoCellAnchor>
  <xdr:twoCellAnchor>
    <xdr:from>
      <xdr:col>9</xdr:col>
      <xdr:colOff>695325</xdr:colOff>
      <xdr:row>12</xdr:row>
      <xdr:rowOff>57150</xdr:rowOff>
    </xdr:from>
    <xdr:to>
      <xdr:col>22</xdr:col>
      <xdr:colOff>512763</xdr:colOff>
      <xdr:row>16</xdr:row>
      <xdr:rowOff>104775</xdr:rowOff>
    </xdr:to>
    <xdr:sp macro="" textlink="">
      <xdr:nvSpPr>
        <xdr:cNvPr id="4" name="Text Box 2" descr="Pergamino"/>
        <xdr:cNvSpPr txBox="1">
          <a:spLocks noChangeArrowheads="1"/>
        </xdr:cNvSpPr>
      </xdr:nvSpPr>
      <xdr:spPr bwMode="auto">
        <a:xfrm>
          <a:off x="11153775" y="2343150"/>
          <a:ext cx="9723438" cy="809625"/>
        </a:xfrm>
        <a:prstGeom prst="rect">
          <a:avLst/>
        </a:prstGeom>
        <a:ln>
          <a:headEnd/>
          <a:tailEnd/>
        </a:ln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wrap="square" lIns="27432" tIns="27432" rIns="27432" bIns="0" anchor="t" upright="1"/>
        <a:lstStyle/>
        <a:p>
          <a:pPr lvl="1" rtl="0"/>
          <a:r>
            <a:rPr lang="es-ES" sz="1200" b="1" i="0" u="none" strike="noStrike" baseline="0">
              <a:solidFill>
                <a:srgbClr val="000080"/>
              </a:solidFill>
              <a:latin typeface="+mn-lt"/>
              <a:ea typeface="+mn-ea"/>
              <a:cs typeface="+mn-cs"/>
            </a:rPr>
            <a:t>Desarrolle una tabla dinámica con macros en una hoja "Resultados2"</a:t>
          </a:r>
          <a:endParaRPr lang="es-PE" sz="1200" b="1" i="0" u="none" strike="noStrike" baseline="0">
            <a:solidFill>
              <a:srgbClr val="000080"/>
            </a:solidFill>
            <a:latin typeface="+mn-lt"/>
            <a:ea typeface="+mn-ea"/>
            <a:cs typeface="+mn-cs"/>
          </a:endParaRPr>
        </a:p>
        <a:p>
          <a:pPr lvl="1" rtl="0"/>
          <a:r>
            <a:rPr lang="es-ES" sz="1200" b="1" i="0" u="none" strike="noStrike" baseline="0">
              <a:solidFill>
                <a:srgbClr val="000080"/>
              </a:solidFill>
              <a:latin typeface="+mn-lt"/>
              <a:ea typeface="+mn-ea"/>
              <a:cs typeface="+mn-cs"/>
            </a:rPr>
            <a:t>- Si la hoja existe debe eliminarla y volver a crearla (1 puntos)</a:t>
          </a:r>
          <a:endParaRPr lang="es-PE" sz="1200" b="1" i="0" u="none" strike="noStrike" baseline="0">
            <a:solidFill>
              <a:srgbClr val="000080"/>
            </a:solidFill>
            <a:latin typeface="+mn-lt"/>
            <a:ea typeface="+mn-ea"/>
            <a:cs typeface="+mn-cs"/>
          </a:endParaRPr>
        </a:p>
        <a:p>
          <a:pPr lvl="1" rtl="0"/>
          <a:r>
            <a:rPr lang="es-ES" sz="1200" b="1" i="0" u="none" strike="noStrike" baseline="0">
              <a:solidFill>
                <a:srgbClr val="000080"/>
              </a:solidFill>
              <a:latin typeface="+mn-lt"/>
              <a:ea typeface="+mn-ea"/>
              <a:cs typeface="+mn-cs"/>
            </a:rPr>
            <a:t>- Debe generar el siguiente resultado (2 puntos)</a:t>
          </a:r>
          <a:endParaRPr lang="es-ES" sz="1200" b="0" i="0" u="none" strike="noStrike" baseline="0">
            <a:solidFill>
              <a:srgbClr val="00008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10</xdr:col>
      <xdr:colOff>504825</xdr:colOff>
      <xdr:row>17</xdr:row>
      <xdr:rowOff>123825</xdr:rowOff>
    </xdr:from>
    <xdr:to>
      <xdr:col>14</xdr:col>
      <xdr:colOff>600514</xdr:colOff>
      <xdr:row>41</xdr:row>
      <xdr:rowOff>133989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25275" y="3362325"/>
          <a:ext cx="3143689" cy="45821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152400</xdr:rowOff>
        </xdr:from>
        <xdr:to>
          <xdr:col>16</xdr:col>
          <xdr:colOff>361950</xdr:colOff>
          <xdr:row>9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</a:rPr>
                <a:t>Reproducir Tabla1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685800</xdr:colOff>
          <xdr:row>18</xdr:row>
          <xdr:rowOff>123825</xdr:rowOff>
        </xdr:from>
        <xdr:to>
          <xdr:col>17</xdr:col>
          <xdr:colOff>238125</xdr:colOff>
          <xdr:row>22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</a:rPr>
                <a:t>Reproducir Tabla2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0</xdr:row>
      <xdr:rowOff>9526</xdr:rowOff>
    </xdr:from>
    <xdr:to>
      <xdr:col>18</xdr:col>
      <xdr:colOff>238125</xdr:colOff>
      <xdr:row>2</xdr:row>
      <xdr:rowOff>85726</xdr:rowOff>
    </xdr:to>
    <xdr:sp macro="" textlink="">
      <xdr:nvSpPr>
        <xdr:cNvPr id="2" name="Text Box 2" descr="Pergamino"/>
        <xdr:cNvSpPr txBox="1">
          <a:spLocks noChangeArrowheads="1"/>
        </xdr:cNvSpPr>
      </xdr:nvSpPr>
      <xdr:spPr bwMode="auto">
        <a:xfrm>
          <a:off x="6800849" y="9526"/>
          <a:ext cx="7848601" cy="457200"/>
        </a:xfrm>
        <a:prstGeom prst="rect">
          <a:avLst/>
        </a:prstGeom>
        <a:ln>
          <a:headEnd/>
          <a:tailEnd/>
        </a:ln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wrap="square" lIns="27432" tIns="27432" rIns="27432" bIns="0" anchor="t" upright="1"/>
        <a:lstStyle/>
        <a:p>
          <a:pPr lvl="1" rtl="0"/>
          <a:r>
            <a:rPr lang="es-ES" sz="1200" b="1" i="0" u="none" strike="noStrike" baseline="0">
              <a:solidFill>
                <a:srgbClr val="000080"/>
              </a:solidFill>
              <a:latin typeface="+mn-lt"/>
              <a:ea typeface="+mn-ea"/>
              <a:cs typeface="+mn-cs"/>
            </a:rPr>
            <a:t>Desarrolle el registro de datos en la base de datos Access "Base.accdb" (2 puntos)</a:t>
          </a:r>
        </a:p>
        <a:p>
          <a:pPr marL="457200" marR="0" lvl="1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200" b="1" i="0" u="none" strike="noStrike" baseline="0">
              <a:solidFill>
                <a:srgbClr val="000080"/>
              </a:solidFill>
              <a:latin typeface="+mn-lt"/>
              <a:ea typeface="+mn-ea"/>
              <a:cs typeface="+mn-cs"/>
            </a:rPr>
            <a:t>Desarrolle la consulta de datos en la base de datos Access "Base.accdb" a partir de la celda A7 (1 punto)</a:t>
          </a:r>
          <a:endParaRPr lang="es-PE" sz="1200" b="1" i="0" u="none" strike="noStrike" baseline="0">
            <a:solidFill>
              <a:srgbClr val="000080"/>
            </a:solidFill>
            <a:latin typeface="+mn-lt"/>
            <a:ea typeface="+mn-ea"/>
            <a:cs typeface="+mn-cs"/>
          </a:endParaRPr>
        </a:p>
        <a:p>
          <a:pPr lvl="1" rtl="0"/>
          <a:endParaRPr lang="es-ES" sz="1200" b="1" i="0" u="none" strike="noStrike" baseline="0">
            <a:solidFill>
              <a:srgbClr val="000080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180975</xdr:rowOff>
        </xdr:from>
        <xdr:to>
          <xdr:col>7</xdr:col>
          <xdr:colOff>895350</xdr:colOff>
          <xdr:row>3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4</xdr:row>
          <xdr:rowOff>171450</xdr:rowOff>
        </xdr:from>
        <xdr:to>
          <xdr:col>7</xdr:col>
          <xdr:colOff>904875</xdr:colOff>
          <xdr:row>6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</a:rPr>
                <a:t>Recibir</a:t>
              </a:r>
            </a:p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</a:rPr>
                <a:t>Recibir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333375</xdr:colOff>
      <xdr:row>0</xdr:row>
      <xdr:rowOff>76200</xdr:rowOff>
    </xdr:from>
    <xdr:to>
      <xdr:col>11</xdr:col>
      <xdr:colOff>467961</xdr:colOff>
      <xdr:row>4</xdr:row>
      <xdr:rowOff>167714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76200"/>
          <a:ext cx="5468586" cy="8535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723900</xdr:colOff>
          <xdr:row>8</xdr:row>
          <xdr:rowOff>0</xdr:rowOff>
        </xdr:from>
        <xdr:to>
          <xdr:col>10</xdr:col>
          <xdr:colOff>657225</xdr:colOff>
          <xdr:row>10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7</xdr:row>
          <xdr:rowOff>180976</xdr:rowOff>
        </xdr:from>
        <xdr:to>
          <xdr:col>12</xdr:col>
          <xdr:colOff>666750</xdr:colOff>
          <xdr:row>10</xdr:row>
          <xdr:rowOff>180976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</a:rPr>
                <a:t>Borrar Filtro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showGridLines="0" workbookViewId="0"/>
  </sheetViews>
  <sheetFormatPr baseColWidth="10" defaultColWidth="11.42578125" defaultRowHeight="15" x14ac:dyDescent="0.25"/>
  <sheetData>
    <row r="1" spans="1:1" x14ac:dyDescent="0.25">
      <c r="A1" s="1" t="s">
        <v>499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I98"/>
  <sheetViews>
    <sheetView showGridLines="0" tabSelected="1" topLeftCell="I1" workbookViewId="0"/>
  </sheetViews>
  <sheetFormatPr baseColWidth="10" defaultColWidth="11.42578125" defaultRowHeight="15" x14ac:dyDescent="0.25"/>
  <cols>
    <col min="1" max="1" width="15.28515625" bestFit="1" customWidth="1"/>
    <col min="2" max="2" width="19.85546875" bestFit="1" customWidth="1"/>
    <col min="3" max="3" width="5.85546875" bestFit="1" customWidth="1"/>
    <col min="4" max="4" width="7.85546875" bestFit="1" customWidth="1"/>
    <col min="5" max="5" width="16.28515625" bestFit="1" customWidth="1"/>
    <col min="6" max="6" width="10.140625" bestFit="1" customWidth="1"/>
    <col min="7" max="7" width="36.85546875" bestFit="1" customWidth="1"/>
    <col min="8" max="8" width="11.85546875" bestFit="1" customWidth="1"/>
    <col min="9" max="9" width="32.85546875" bestFit="1" customWidth="1"/>
  </cols>
  <sheetData>
    <row r="1" spans="1:9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25">
      <c r="A2" t="s">
        <v>9</v>
      </c>
      <c r="B2" t="s">
        <v>10</v>
      </c>
      <c r="C2">
        <v>39</v>
      </c>
      <c r="D2">
        <v>1451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</row>
    <row r="3" spans="1:9" x14ac:dyDescent="0.25">
      <c r="A3" t="s">
        <v>16</v>
      </c>
      <c r="B3" t="s">
        <v>17</v>
      </c>
      <c r="C3">
        <v>47</v>
      </c>
      <c r="D3">
        <v>1985</v>
      </c>
      <c r="E3" t="s">
        <v>18</v>
      </c>
      <c r="F3" t="s">
        <v>19</v>
      </c>
      <c r="G3" t="s">
        <v>20</v>
      </c>
      <c r="H3" t="s">
        <v>14</v>
      </c>
      <c r="I3" t="s">
        <v>21</v>
      </c>
    </row>
    <row r="4" spans="1:9" x14ac:dyDescent="0.25">
      <c r="A4" t="s">
        <v>22</v>
      </c>
      <c r="B4" t="s">
        <v>23</v>
      </c>
      <c r="C4">
        <v>33</v>
      </c>
      <c r="D4">
        <v>2180</v>
      </c>
      <c r="E4" t="s">
        <v>18</v>
      </c>
      <c r="F4" t="s">
        <v>24</v>
      </c>
      <c r="G4" t="s">
        <v>25</v>
      </c>
      <c r="H4" t="s">
        <v>14</v>
      </c>
      <c r="I4" t="s">
        <v>26</v>
      </c>
    </row>
    <row r="5" spans="1:9" x14ac:dyDescent="0.25">
      <c r="A5" t="s">
        <v>16</v>
      </c>
      <c r="B5" t="s">
        <v>27</v>
      </c>
      <c r="C5">
        <v>26</v>
      </c>
      <c r="D5">
        <v>1200</v>
      </c>
      <c r="E5" t="s">
        <v>28</v>
      </c>
      <c r="F5" t="s">
        <v>29</v>
      </c>
      <c r="G5" t="s">
        <v>30</v>
      </c>
      <c r="H5" t="s">
        <v>14</v>
      </c>
      <c r="I5" t="s">
        <v>31</v>
      </c>
    </row>
    <row r="6" spans="1:9" x14ac:dyDescent="0.25">
      <c r="A6" t="s">
        <v>32</v>
      </c>
      <c r="B6" t="s">
        <v>33</v>
      </c>
      <c r="C6">
        <v>28</v>
      </c>
      <c r="D6">
        <v>974</v>
      </c>
      <c r="E6" t="s">
        <v>28</v>
      </c>
      <c r="F6" t="s">
        <v>34</v>
      </c>
      <c r="G6" t="s">
        <v>35</v>
      </c>
      <c r="H6" t="s">
        <v>14</v>
      </c>
      <c r="I6" t="s">
        <v>36</v>
      </c>
    </row>
    <row r="7" spans="1:9" x14ac:dyDescent="0.25">
      <c r="A7" t="s">
        <v>16</v>
      </c>
      <c r="B7" t="s">
        <v>37</v>
      </c>
      <c r="C7">
        <v>23</v>
      </c>
      <c r="D7">
        <v>1810</v>
      </c>
      <c r="E7" t="s">
        <v>38</v>
      </c>
      <c r="F7" t="s">
        <v>39</v>
      </c>
      <c r="G7" t="s">
        <v>40</v>
      </c>
      <c r="H7" t="s">
        <v>14</v>
      </c>
      <c r="I7" t="s">
        <v>41</v>
      </c>
    </row>
    <row r="8" spans="1:9" x14ac:dyDescent="0.25">
      <c r="A8" t="s">
        <v>42</v>
      </c>
      <c r="B8" t="s">
        <v>43</v>
      </c>
      <c r="C8">
        <v>30</v>
      </c>
      <c r="D8">
        <v>2194</v>
      </c>
      <c r="E8" t="s">
        <v>38</v>
      </c>
      <c r="F8" t="s">
        <v>44</v>
      </c>
      <c r="G8" t="s">
        <v>45</v>
      </c>
      <c r="H8" t="s">
        <v>14</v>
      </c>
      <c r="I8" t="s">
        <v>46</v>
      </c>
    </row>
    <row r="9" spans="1:9" x14ac:dyDescent="0.25">
      <c r="A9" t="s">
        <v>32</v>
      </c>
      <c r="B9" t="s">
        <v>43</v>
      </c>
      <c r="C9">
        <v>37</v>
      </c>
      <c r="D9">
        <v>2180</v>
      </c>
      <c r="E9" t="s">
        <v>38</v>
      </c>
      <c r="F9" t="s">
        <v>47</v>
      </c>
      <c r="G9" t="s">
        <v>48</v>
      </c>
      <c r="H9" t="s">
        <v>14</v>
      </c>
      <c r="I9" t="s">
        <v>49</v>
      </c>
    </row>
    <row r="10" spans="1:9" x14ac:dyDescent="0.25">
      <c r="A10" t="s">
        <v>22</v>
      </c>
      <c r="B10" t="s">
        <v>50</v>
      </c>
      <c r="C10">
        <v>27</v>
      </c>
      <c r="D10">
        <v>1316</v>
      </c>
      <c r="E10" t="s">
        <v>11</v>
      </c>
      <c r="F10" t="s">
        <v>51</v>
      </c>
      <c r="G10" t="s">
        <v>52</v>
      </c>
      <c r="H10" t="s">
        <v>53</v>
      </c>
      <c r="I10" t="s">
        <v>54</v>
      </c>
    </row>
    <row r="11" spans="1:9" x14ac:dyDescent="0.25">
      <c r="A11" t="s">
        <v>55</v>
      </c>
      <c r="B11" t="s">
        <v>56</v>
      </c>
      <c r="C11">
        <v>21</v>
      </c>
      <c r="D11">
        <v>1794</v>
      </c>
      <c r="E11" t="s">
        <v>11</v>
      </c>
      <c r="F11" t="s">
        <v>57</v>
      </c>
      <c r="G11" t="s">
        <v>58</v>
      </c>
      <c r="H11" t="s">
        <v>53</v>
      </c>
      <c r="I11" t="s">
        <v>59</v>
      </c>
    </row>
    <row r="12" spans="1:9" x14ac:dyDescent="0.25">
      <c r="A12" t="s">
        <v>60</v>
      </c>
      <c r="B12" t="s">
        <v>61</v>
      </c>
      <c r="C12">
        <v>51</v>
      </c>
      <c r="D12">
        <v>2013</v>
      </c>
      <c r="E12" t="s">
        <v>11</v>
      </c>
      <c r="F12" t="s">
        <v>62</v>
      </c>
      <c r="G12" t="s">
        <v>63</v>
      </c>
      <c r="H12" t="s">
        <v>53</v>
      </c>
      <c r="I12" t="s">
        <v>64</v>
      </c>
    </row>
    <row r="13" spans="1:9" x14ac:dyDescent="0.25">
      <c r="A13" t="s">
        <v>65</v>
      </c>
      <c r="B13" t="s">
        <v>66</v>
      </c>
      <c r="C13">
        <v>56</v>
      </c>
      <c r="D13">
        <v>1179</v>
      </c>
      <c r="E13" t="s">
        <v>18</v>
      </c>
      <c r="F13" t="s">
        <v>67</v>
      </c>
      <c r="G13" t="s">
        <v>68</v>
      </c>
      <c r="H13" t="s">
        <v>53</v>
      </c>
      <c r="I13" t="s">
        <v>69</v>
      </c>
    </row>
    <row r="14" spans="1:9" x14ac:dyDescent="0.25">
      <c r="A14" t="s">
        <v>70</v>
      </c>
      <c r="B14" t="s">
        <v>71</v>
      </c>
      <c r="C14">
        <v>26</v>
      </c>
      <c r="D14">
        <v>2114</v>
      </c>
      <c r="E14" t="s">
        <v>18</v>
      </c>
      <c r="F14" t="s">
        <v>72</v>
      </c>
      <c r="G14" t="s">
        <v>73</v>
      </c>
      <c r="H14" t="s">
        <v>53</v>
      </c>
      <c r="I14" t="s">
        <v>74</v>
      </c>
    </row>
    <row r="15" spans="1:9" x14ac:dyDescent="0.25">
      <c r="A15" t="s">
        <v>75</v>
      </c>
      <c r="B15" t="s">
        <v>76</v>
      </c>
      <c r="C15">
        <v>28</v>
      </c>
      <c r="D15">
        <v>1603</v>
      </c>
      <c r="E15" t="s">
        <v>28</v>
      </c>
      <c r="F15" t="s">
        <v>77</v>
      </c>
      <c r="G15" t="s">
        <v>78</v>
      </c>
      <c r="H15" t="s">
        <v>53</v>
      </c>
      <c r="I15" t="s">
        <v>79</v>
      </c>
    </row>
    <row r="16" spans="1:9" x14ac:dyDescent="0.25">
      <c r="A16" t="s">
        <v>80</v>
      </c>
      <c r="B16" t="s">
        <v>81</v>
      </c>
      <c r="C16">
        <v>53</v>
      </c>
      <c r="D16">
        <v>2169</v>
      </c>
      <c r="E16" t="s">
        <v>28</v>
      </c>
      <c r="F16" t="s">
        <v>82</v>
      </c>
      <c r="G16" t="s">
        <v>83</v>
      </c>
      <c r="H16" t="s">
        <v>53</v>
      </c>
      <c r="I16" t="s">
        <v>84</v>
      </c>
    </row>
    <row r="17" spans="1:9" x14ac:dyDescent="0.25">
      <c r="A17" t="s">
        <v>85</v>
      </c>
      <c r="B17" t="s">
        <v>86</v>
      </c>
      <c r="C17">
        <v>42</v>
      </c>
      <c r="D17">
        <v>1522</v>
      </c>
      <c r="E17" t="s">
        <v>38</v>
      </c>
      <c r="F17" t="s">
        <v>87</v>
      </c>
      <c r="G17" t="s">
        <v>88</v>
      </c>
      <c r="H17" t="s">
        <v>53</v>
      </c>
      <c r="I17" t="s">
        <v>89</v>
      </c>
    </row>
    <row r="18" spans="1:9" x14ac:dyDescent="0.25">
      <c r="A18" t="s">
        <v>90</v>
      </c>
      <c r="B18" t="s">
        <v>76</v>
      </c>
      <c r="C18">
        <v>34</v>
      </c>
      <c r="D18">
        <v>1276</v>
      </c>
      <c r="E18" t="s">
        <v>38</v>
      </c>
      <c r="F18" t="s">
        <v>91</v>
      </c>
      <c r="G18" t="s">
        <v>92</v>
      </c>
      <c r="H18" t="s">
        <v>53</v>
      </c>
      <c r="I18" t="s">
        <v>93</v>
      </c>
    </row>
    <row r="19" spans="1:9" x14ac:dyDescent="0.25">
      <c r="A19" t="s">
        <v>55</v>
      </c>
      <c r="B19" t="s">
        <v>94</v>
      </c>
      <c r="C19">
        <v>27</v>
      </c>
      <c r="D19">
        <v>1751</v>
      </c>
      <c r="E19" t="s">
        <v>38</v>
      </c>
      <c r="F19" t="s">
        <v>95</v>
      </c>
      <c r="G19" t="s">
        <v>96</v>
      </c>
      <c r="H19" t="s">
        <v>53</v>
      </c>
      <c r="I19" t="s">
        <v>97</v>
      </c>
    </row>
    <row r="20" spans="1:9" x14ac:dyDescent="0.25">
      <c r="A20" t="s">
        <v>55</v>
      </c>
      <c r="B20" t="s">
        <v>98</v>
      </c>
      <c r="C20">
        <v>34</v>
      </c>
      <c r="D20">
        <v>1378</v>
      </c>
      <c r="E20" t="s">
        <v>38</v>
      </c>
      <c r="F20" t="s">
        <v>99</v>
      </c>
      <c r="G20" t="s">
        <v>100</v>
      </c>
      <c r="H20" t="s">
        <v>53</v>
      </c>
      <c r="I20" t="s">
        <v>101</v>
      </c>
    </row>
    <row r="21" spans="1:9" x14ac:dyDescent="0.25">
      <c r="A21" t="s">
        <v>55</v>
      </c>
      <c r="B21" t="s">
        <v>102</v>
      </c>
      <c r="C21">
        <v>37</v>
      </c>
      <c r="D21">
        <v>1759</v>
      </c>
      <c r="E21" t="s">
        <v>38</v>
      </c>
      <c r="F21" t="s">
        <v>103</v>
      </c>
      <c r="G21" t="s">
        <v>104</v>
      </c>
      <c r="H21" t="s">
        <v>53</v>
      </c>
      <c r="I21" t="s">
        <v>105</v>
      </c>
    </row>
    <row r="22" spans="1:9" x14ac:dyDescent="0.25">
      <c r="A22" t="s">
        <v>80</v>
      </c>
      <c r="B22" t="s">
        <v>106</v>
      </c>
      <c r="C22">
        <v>58</v>
      </c>
      <c r="D22">
        <v>2293</v>
      </c>
      <c r="E22" t="s">
        <v>38</v>
      </c>
      <c r="F22" t="s">
        <v>107</v>
      </c>
      <c r="G22" t="s">
        <v>108</v>
      </c>
      <c r="H22" t="s">
        <v>53</v>
      </c>
      <c r="I22" t="s">
        <v>109</v>
      </c>
    </row>
    <row r="23" spans="1:9" x14ac:dyDescent="0.25">
      <c r="A23" t="s">
        <v>110</v>
      </c>
      <c r="B23" t="s">
        <v>111</v>
      </c>
      <c r="C23">
        <v>27</v>
      </c>
      <c r="D23">
        <v>1863</v>
      </c>
      <c r="E23" t="s">
        <v>38</v>
      </c>
      <c r="F23" t="s">
        <v>112</v>
      </c>
      <c r="G23" t="s">
        <v>113</v>
      </c>
      <c r="H23" t="s">
        <v>53</v>
      </c>
      <c r="I23" t="s">
        <v>114</v>
      </c>
    </row>
    <row r="24" spans="1:9" x14ac:dyDescent="0.25">
      <c r="A24" t="s">
        <v>110</v>
      </c>
      <c r="B24" t="s">
        <v>115</v>
      </c>
      <c r="C24">
        <v>47</v>
      </c>
      <c r="D24">
        <v>1926</v>
      </c>
      <c r="E24" t="s">
        <v>38</v>
      </c>
      <c r="F24" t="s">
        <v>116</v>
      </c>
      <c r="G24" t="s">
        <v>117</v>
      </c>
      <c r="H24" t="s">
        <v>53</v>
      </c>
      <c r="I24" t="s">
        <v>118</v>
      </c>
    </row>
    <row r="25" spans="1:9" x14ac:dyDescent="0.25">
      <c r="A25" t="s">
        <v>110</v>
      </c>
      <c r="B25" t="s">
        <v>119</v>
      </c>
      <c r="C25">
        <v>31</v>
      </c>
      <c r="D25">
        <v>1858</v>
      </c>
      <c r="E25" t="s">
        <v>38</v>
      </c>
      <c r="F25" t="s">
        <v>120</v>
      </c>
      <c r="G25" t="s">
        <v>121</v>
      </c>
      <c r="H25" t="s">
        <v>53</v>
      </c>
      <c r="I25" t="s">
        <v>122</v>
      </c>
    </row>
    <row r="26" spans="1:9" x14ac:dyDescent="0.25">
      <c r="A26" t="s">
        <v>123</v>
      </c>
      <c r="B26" t="s">
        <v>124</v>
      </c>
      <c r="C26">
        <v>38</v>
      </c>
      <c r="D26">
        <v>1421</v>
      </c>
      <c r="E26" t="s">
        <v>11</v>
      </c>
      <c r="F26" t="s">
        <v>125</v>
      </c>
      <c r="G26" t="s">
        <v>126</v>
      </c>
      <c r="H26" t="s">
        <v>127</v>
      </c>
      <c r="I26" t="s">
        <v>128</v>
      </c>
    </row>
    <row r="27" spans="1:9" x14ac:dyDescent="0.25">
      <c r="A27" t="s">
        <v>129</v>
      </c>
      <c r="B27" t="s">
        <v>130</v>
      </c>
      <c r="C27">
        <v>27</v>
      </c>
      <c r="D27">
        <v>1009</v>
      </c>
      <c r="E27" t="s">
        <v>18</v>
      </c>
      <c r="F27" t="s">
        <v>131</v>
      </c>
      <c r="G27" t="s">
        <v>132</v>
      </c>
      <c r="H27" t="s">
        <v>127</v>
      </c>
      <c r="I27" t="s">
        <v>133</v>
      </c>
    </row>
    <row r="28" spans="1:9" x14ac:dyDescent="0.25">
      <c r="A28" t="s">
        <v>134</v>
      </c>
      <c r="B28" t="s">
        <v>135</v>
      </c>
      <c r="C28">
        <v>57</v>
      </c>
      <c r="D28">
        <v>1791</v>
      </c>
      <c r="E28" t="s">
        <v>28</v>
      </c>
      <c r="F28" t="s">
        <v>136</v>
      </c>
      <c r="G28" t="s">
        <v>137</v>
      </c>
      <c r="H28" t="s">
        <v>127</v>
      </c>
      <c r="I28" t="s">
        <v>138</v>
      </c>
    </row>
    <row r="29" spans="1:9" x14ac:dyDescent="0.25">
      <c r="A29" t="s">
        <v>139</v>
      </c>
      <c r="B29" t="s">
        <v>140</v>
      </c>
      <c r="C29">
        <v>54</v>
      </c>
      <c r="D29">
        <v>2108</v>
      </c>
      <c r="E29" t="s">
        <v>38</v>
      </c>
      <c r="F29" t="s">
        <v>141</v>
      </c>
      <c r="G29" t="s">
        <v>142</v>
      </c>
      <c r="H29" t="s">
        <v>127</v>
      </c>
      <c r="I29" t="s">
        <v>143</v>
      </c>
    </row>
    <row r="30" spans="1:9" x14ac:dyDescent="0.25">
      <c r="A30" t="s">
        <v>144</v>
      </c>
      <c r="B30" t="s">
        <v>145</v>
      </c>
      <c r="C30">
        <v>36</v>
      </c>
      <c r="D30">
        <v>2061</v>
      </c>
      <c r="E30" t="s">
        <v>38</v>
      </c>
      <c r="F30" t="s">
        <v>146</v>
      </c>
      <c r="G30" t="s">
        <v>147</v>
      </c>
      <c r="H30" t="s">
        <v>127</v>
      </c>
      <c r="I30" t="s">
        <v>148</v>
      </c>
    </row>
    <row r="31" spans="1:9" x14ac:dyDescent="0.25">
      <c r="A31" t="s">
        <v>149</v>
      </c>
      <c r="B31" t="s">
        <v>150</v>
      </c>
      <c r="C31">
        <v>32</v>
      </c>
      <c r="D31">
        <v>1201</v>
      </c>
      <c r="E31" t="s">
        <v>38</v>
      </c>
      <c r="F31" t="s">
        <v>151</v>
      </c>
      <c r="G31" t="s">
        <v>152</v>
      </c>
      <c r="H31" t="s">
        <v>127</v>
      </c>
      <c r="I31" t="s">
        <v>153</v>
      </c>
    </row>
    <row r="32" spans="1:9" x14ac:dyDescent="0.25">
      <c r="A32" t="s">
        <v>154</v>
      </c>
      <c r="B32" t="s">
        <v>155</v>
      </c>
      <c r="C32">
        <v>24</v>
      </c>
      <c r="D32">
        <v>2322</v>
      </c>
      <c r="E32" t="s">
        <v>38</v>
      </c>
      <c r="F32" t="s">
        <v>156</v>
      </c>
      <c r="G32" t="s">
        <v>157</v>
      </c>
      <c r="H32" t="s">
        <v>127</v>
      </c>
      <c r="I32" t="s">
        <v>158</v>
      </c>
    </row>
    <row r="33" spans="1:9" x14ac:dyDescent="0.25">
      <c r="A33" t="s">
        <v>159</v>
      </c>
      <c r="B33" t="s">
        <v>160</v>
      </c>
      <c r="C33">
        <v>33</v>
      </c>
      <c r="D33">
        <v>1931</v>
      </c>
      <c r="E33" t="s">
        <v>38</v>
      </c>
      <c r="F33" t="s">
        <v>161</v>
      </c>
      <c r="G33" t="s">
        <v>162</v>
      </c>
      <c r="H33" t="s">
        <v>127</v>
      </c>
      <c r="I33" t="s">
        <v>163</v>
      </c>
    </row>
    <row r="34" spans="1:9" x14ac:dyDescent="0.25">
      <c r="A34" t="s">
        <v>123</v>
      </c>
      <c r="B34" t="s">
        <v>164</v>
      </c>
      <c r="C34">
        <v>32</v>
      </c>
      <c r="D34">
        <v>1529</v>
      </c>
      <c r="E34" t="s">
        <v>165</v>
      </c>
      <c r="F34" t="s">
        <v>166</v>
      </c>
      <c r="G34" t="s">
        <v>167</v>
      </c>
      <c r="H34" t="s">
        <v>127</v>
      </c>
      <c r="I34" t="s">
        <v>168</v>
      </c>
    </row>
    <row r="35" spans="1:9" x14ac:dyDescent="0.25">
      <c r="A35" t="s">
        <v>139</v>
      </c>
      <c r="B35" t="s">
        <v>169</v>
      </c>
      <c r="C35">
        <v>55</v>
      </c>
      <c r="D35">
        <v>2211</v>
      </c>
      <c r="E35" t="s">
        <v>165</v>
      </c>
      <c r="F35" t="s">
        <v>170</v>
      </c>
      <c r="G35" t="s">
        <v>171</v>
      </c>
      <c r="H35" t="s">
        <v>127</v>
      </c>
      <c r="I35" t="s">
        <v>172</v>
      </c>
    </row>
    <row r="36" spans="1:9" x14ac:dyDescent="0.25">
      <c r="A36" t="s">
        <v>159</v>
      </c>
      <c r="B36" t="s">
        <v>173</v>
      </c>
      <c r="C36">
        <v>53</v>
      </c>
      <c r="D36">
        <v>1892</v>
      </c>
      <c r="E36" t="s">
        <v>165</v>
      </c>
      <c r="F36" t="s">
        <v>174</v>
      </c>
      <c r="G36" t="s">
        <v>175</v>
      </c>
      <c r="H36" t="s">
        <v>176</v>
      </c>
      <c r="I36" t="s">
        <v>177</v>
      </c>
    </row>
    <row r="37" spans="1:9" x14ac:dyDescent="0.25">
      <c r="A37" t="s">
        <v>178</v>
      </c>
      <c r="B37" t="s">
        <v>179</v>
      </c>
      <c r="C37">
        <v>45</v>
      </c>
      <c r="D37">
        <v>1454</v>
      </c>
      <c r="E37" t="s">
        <v>165</v>
      </c>
      <c r="F37" t="s">
        <v>180</v>
      </c>
      <c r="G37" t="s">
        <v>181</v>
      </c>
      <c r="H37" t="s">
        <v>176</v>
      </c>
      <c r="I37" t="s">
        <v>182</v>
      </c>
    </row>
    <row r="38" spans="1:9" x14ac:dyDescent="0.25">
      <c r="A38" t="s">
        <v>183</v>
      </c>
      <c r="B38" t="s">
        <v>184</v>
      </c>
      <c r="C38">
        <v>32</v>
      </c>
      <c r="D38">
        <v>2176</v>
      </c>
      <c r="E38" t="s">
        <v>165</v>
      </c>
      <c r="F38" t="s">
        <v>185</v>
      </c>
      <c r="G38" t="s">
        <v>186</v>
      </c>
      <c r="H38" t="s">
        <v>176</v>
      </c>
      <c r="I38" t="s">
        <v>187</v>
      </c>
    </row>
    <row r="39" spans="1:9" x14ac:dyDescent="0.25">
      <c r="A39" t="s">
        <v>188</v>
      </c>
      <c r="B39" t="s">
        <v>189</v>
      </c>
      <c r="C39">
        <v>28</v>
      </c>
      <c r="D39">
        <v>1054</v>
      </c>
      <c r="E39" t="s">
        <v>165</v>
      </c>
      <c r="F39" t="s">
        <v>190</v>
      </c>
      <c r="G39" t="s">
        <v>191</v>
      </c>
      <c r="H39" t="s">
        <v>176</v>
      </c>
      <c r="I39" t="s">
        <v>192</v>
      </c>
    </row>
    <row r="40" spans="1:9" x14ac:dyDescent="0.25">
      <c r="A40" t="s">
        <v>193</v>
      </c>
      <c r="B40" t="s">
        <v>194</v>
      </c>
      <c r="C40">
        <v>25</v>
      </c>
      <c r="D40">
        <v>1215</v>
      </c>
      <c r="E40" t="s">
        <v>165</v>
      </c>
      <c r="F40" t="s">
        <v>195</v>
      </c>
      <c r="G40" t="s">
        <v>196</v>
      </c>
      <c r="H40" t="s">
        <v>176</v>
      </c>
      <c r="I40" t="s">
        <v>197</v>
      </c>
    </row>
    <row r="41" spans="1:9" x14ac:dyDescent="0.25">
      <c r="A41" t="s">
        <v>198</v>
      </c>
      <c r="B41" t="s">
        <v>199</v>
      </c>
      <c r="C41">
        <v>56</v>
      </c>
      <c r="D41">
        <v>1541</v>
      </c>
      <c r="E41" t="s">
        <v>165</v>
      </c>
      <c r="F41" t="s">
        <v>200</v>
      </c>
      <c r="G41" t="s">
        <v>201</v>
      </c>
      <c r="H41" t="s">
        <v>176</v>
      </c>
      <c r="I41" t="s">
        <v>202</v>
      </c>
    </row>
    <row r="42" spans="1:9" x14ac:dyDescent="0.25">
      <c r="A42" t="s">
        <v>203</v>
      </c>
      <c r="B42" t="s">
        <v>204</v>
      </c>
      <c r="C42">
        <v>34</v>
      </c>
      <c r="D42">
        <v>1444</v>
      </c>
      <c r="E42" t="s">
        <v>165</v>
      </c>
      <c r="F42" t="s">
        <v>205</v>
      </c>
      <c r="G42" t="s">
        <v>206</v>
      </c>
      <c r="H42" t="s">
        <v>176</v>
      </c>
      <c r="I42" t="s">
        <v>207</v>
      </c>
    </row>
    <row r="43" spans="1:9" x14ac:dyDescent="0.25">
      <c r="A43" t="s">
        <v>208</v>
      </c>
      <c r="B43" t="s">
        <v>209</v>
      </c>
      <c r="C43">
        <v>31</v>
      </c>
      <c r="D43">
        <v>1074</v>
      </c>
      <c r="E43" t="s">
        <v>165</v>
      </c>
      <c r="F43" t="s">
        <v>210</v>
      </c>
      <c r="G43" t="s">
        <v>211</v>
      </c>
      <c r="H43" t="s">
        <v>176</v>
      </c>
      <c r="I43" t="s">
        <v>212</v>
      </c>
    </row>
    <row r="44" spans="1:9" x14ac:dyDescent="0.25">
      <c r="A44" t="s">
        <v>213</v>
      </c>
      <c r="B44" t="s">
        <v>214</v>
      </c>
      <c r="C44">
        <v>34</v>
      </c>
      <c r="D44">
        <v>2193</v>
      </c>
      <c r="E44" t="s">
        <v>11</v>
      </c>
      <c r="F44" t="s">
        <v>215</v>
      </c>
      <c r="G44" t="s">
        <v>216</v>
      </c>
      <c r="H44" t="s">
        <v>217</v>
      </c>
      <c r="I44" t="s">
        <v>218</v>
      </c>
    </row>
    <row r="45" spans="1:9" x14ac:dyDescent="0.25">
      <c r="A45" t="s">
        <v>219</v>
      </c>
      <c r="B45" t="s">
        <v>220</v>
      </c>
      <c r="C45">
        <v>40</v>
      </c>
      <c r="D45">
        <v>2296</v>
      </c>
      <c r="E45" t="s">
        <v>11</v>
      </c>
      <c r="F45" t="s">
        <v>221</v>
      </c>
      <c r="G45" t="s">
        <v>222</v>
      </c>
      <c r="H45" t="s">
        <v>217</v>
      </c>
      <c r="I45" t="s">
        <v>223</v>
      </c>
    </row>
    <row r="46" spans="1:9" x14ac:dyDescent="0.25">
      <c r="A46" t="s">
        <v>224</v>
      </c>
      <c r="B46" t="s">
        <v>225</v>
      </c>
      <c r="C46">
        <v>56</v>
      </c>
      <c r="D46">
        <v>1068</v>
      </c>
      <c r="E46" t="s">
        <v>11</v>
      </c>
      <c r="F46" t="s">
        <v>226</v>
      </c>
      <c r="G46" t="s">
        <v>227</v>
      </c>
      <c r="H46" t="s">
        <v>217</v>
      </c>
      <c r="I46" t="s">
        <v>228</v>
      </c>
    </row>
    <row r="47" spans="1:9" x14ac:dyDescent="0.25">
      <c r="A47" t="s">
        <v>224</v>
      </c>
      <c r="B47" t="s">
        <v>229</v>
      </c>
      <c r="C47">
        <v>49</v>
      </c>
      <c r="D47">
        <v>1315</v>
      </c>
      <c r="E47" t="s">
        <v>11</v>
      </c>
      <c r="F47" t="s">
        <v>230</v>
      </c>
      <c r="G47" t="s">
        <v>231</v>
      </c>
      <c r="H47" t="s">
        <v>217</v>
      </c>
      <c r="I47" t="s">
        <v>232</v>
      </c>
    </row>
    <row r="48" spans="1:9" x14ac:dyDescent="0.25">
      <c r="A48" t="s">
        <v>208</v>
      </c>
      <c r="B48" t="s">
        <v>233</v>
      </c>
      <c r="C48">
        <v>30</v>
      </c>
      <c r="D48">
        <v>1098</v>
      </c>
      <c r="E48" t="s">
        <v>28</v>
      </c>
      <c r="F48" t="s">
        <v>234</v>
      </c>
      <c r="G48" t="s">
        <v>235</v>
      </c>
      <c r="H48" t="s">
        <v>217</v>
      </c>
      <c r="I48" t="s">
        <v>236</v>
      </c>
    </row>
    <row r="49" spans="1:9" x14ac:dyDescent="0.25">
      <c r="A49" t="s">
        <v>237</v>
      </c>
      <c r="B49" t="s">
        <v>238</v>
      </c>
      <c r="C49">
        <v>23</v>
      </c>
      <c r="D49">
        <v>1420</v>
      </c>
      <c r="E49" t="s">
        <v>28</v>
      </c>
      <c r="F49" t="s">
        <v>239</v>
      </c>
      <c r="G49" t="s">
        <v>240</v>
      </c>
      <c r="H49" t="s">
        <v>217</v>
      </c>
      <c r="I49" t="s">
        <v>241</v>
      </c>
    </row>
    <row r="50" spans="1:9" x14ac:dyDescent="0.25">
      <c r="A50" t="s">
        <v>242</v>
      </c>
      <c r="B50" t="s">
        <v>243</v>
      </c>
      <c r="C50">
        <v>36</v>
      </c>
      <c r="D50">
        <v>1638</v>
      </c>
      <c r="E50" t="s">
        <v>28</v>
      </c>
      <c r="F50" t="s">
        <v>244</v>
      </c>
      <c r="G50" t="s">
        <v>245</v>
      </c>
      <c r="H50" t="s">
        <v>217</v>
      </c>
      <c r="I50" t="s">
        <v>246</v>
      </c>
    </row>
    <row r="51" spans="1:9" x14ac:dyDescent="0.25">
      <c r="A51" t="s">
        <v>242</v>
      </c>
      <c r="B51" t="s">
        <v>247</v>
      </c>
      <c r="C51">
        <v>23</v>
      </c>
      <c r="D51">
        <v>1024</v>
      </c>
      <c r="E51" t="s">
        <v>28</v>
      </c>
      <c r="F51" t="s">
        <v>248</v>
      </c>
      <c r="G51" t="s">
        <v>249</v>
      </c>
      <c r="H51" t="s">
        <v>217</v>
      </c>
      <c r="I51" t="s">
        <v>250</v>
      </c>
    </row>
    <row r="52" spans="1:9" x14ac:dyDescent="0.25">
      <c r="A52" t="s">
        <v>251</v>
      </c>
      <c r="B52" t="s">
        <v>252</v>
      </c>
      <c r="C52">
        <v>36</v>
      </c>
      <c r="D52">
        <v>1680</v>
      </c>
      <c r="E52" t="s">
        <v>28</v>
      </c>
      <c r="F52" t="s">
        <v>253</v>
      </c>
      <c r="G52" t="s">
        <v>254</v>
      </c>
      <c r="H52" t="s">
        <v>217</v>
      </c>
      <c r="I52" t="s">
        <v>255</v>
      </c>
    </row>
    <row r="53" spans="1:9" x14ac:dyDescent="0.25">
      <c r="A53" t="s">
        <v>256</v>
      </c>
      <c r="B53" t="s">
        <v>257</v>
      </c>
      <c r="C53">
        <v>39</v>
      </c>
      <c r="D53">
        <v>2337</v>
      </c>
      <c r="E53" t="s">
        <v>28</v>
      </c>
      <c r="F53" t="s">
        <v>258</v>
      </c>
      <c r="G53" t="s">
        <v>259</v>
      </c>
      <c r="H53" t="s">
        <v>217</v>
      </c>
      <c r="I53" t="s">
        <v>260</v>
      </c>
    </row>
    <row r="54" spans="1:9" x14ac:dyDescent="0.25">
      <c r="A54" t="s">
        <v>256</v>
      </c>
      <c r="B54" t="s">
        <v>261</v>
      </c>
      <c r="C54">
        <v>50</v>
      </c>
      <c r="D54">
        <v>1747</v>
      </c>
      <c r="E54" t="s">
        <v>28</v>
      </c>
      <c r="F54" t="s">
        <v>262</v>
      </c>
      <c r="G54" t="s">
        <v>263</v>
      </c>
      <c r="H54" t="s">
        <v>217</v>
      </c>
      <c r="I54" t="s">
        <v>264</v>
      </c>
    </row>
    <row r="55" spans="1:9" x14ac:dyDescent="0.25">
      <c r="A55" t="s">
        <v>265</v>
      </c>
      <c r="B55" t="s">
        <v>266</v>
      </c>
      <c r="C55">
        <v>27</v>
      </c>
      <c r="D55">
        <v>1093</v>
      </c>
      <c r="E55" t="s">
        <v>11</v>
      </c>
      <c r="F55" t="s">
        <v>267</v>
      </c>
      <c r="G55" t="s">
        <v>268</v>
      </c>
      <c r="H55" t="s">
        <v>269</v>
      </c>
      <c r="I55" t="s">
        <v>270</v>
      </c>
    </row>
    <row r="56" spans="1:9" x14ac:dyDescent="0.25">
      <c r="A56" t="s">
        <v>265</v>
      </c>
      <c r="B56" t="s">
        <v>271</v>
      </c>
      <c r="C56">
        <v>36</v>
      </c>
      <c r="D56">
        <v>1431</v>
      </c>
      <c r="E56" t="s">
        <v>11</v>
      </c>
      <c r="F56" t="s">
        <v>272</v>
      </c>
      <c r="G56" t="s">
        <v>273</v>
      </c>
      <c r="H56" t="s">
        <v>269</v>
      </c>
      <c r="I56" t="s">
        <v>274</v>
      </c>
    </row>
    <row r="57" spans="1:9" x14ac:dyDescent="0.25">
      <c r="A57" t="s">
        <v>275</v>
      </c>
      <c r="B57" t="s">
        <v>276</v>
      </c>
      <c r="C57">
        <v>29</v>
      </c>
      <c r="D57">
        <v>1549</v>
      </c>
      <c r="E57" t="s">
        <v>11</v>
      </c>
      <c r="F57" t="s">
        <v>277</v>
      </c>
      <c r="G57" t="s">
        <v>278</v>
      </c>
      <c r="H57" t="s">
        <v>269</v>
      </c>
      <c r="I57" t="s">
        <v>279</v>
      </c>
    </row>
    <row r="58" spans="1:9" x14ac:dyDescent="0.25">
      <c r="A58" t="s">
        <v>280</v>
      </c>
      <c r="B58" t="s">
        <v>281</v>
      </c>
      <c r="C58">
        <v>25</v>
      </c>
      <c r="D58">
        <v>1339</v>
      </c>
      <c r="E58" t="s">
        <v>11</v>
      </c>
      <c r="F58" t="s">
        <v>282</v>
      </c>
      <c r="G58" t="s">
        <v>283</v>
      </c>
      <c r="H58" t="s">
        <v>269</v>
      </c>
      <c r="I58" t="s">
        <v>284</v>
      </c>
    </row>
    <row r="59" spans="1:9" x14ac:dyDescent="0.25">
      <c r="A59" t="s">
        <v>285</v>
      </c>
      <c r="B59" t="s">
        <v>286</v>
      </c>
      <c r="C59">
        <v>57</v>
      </c>
      <c r="D59">
        <v>1002</v>
      </c>
      <c r="E59" t="s">
        <v>11</v>
      </c>
      <c r="F59" t="s">
        <v>287</v>
      </c>
      <c r="G59" t="s">
        <v>288</v>
      </c>
      <c r="H59" t="s">
        <v>269</v>
      </c>
      <c r="I59" t="s">
        <v>289</v>
      </c>
    </row>
    <row r="60" spans="1:9" x14ac:dyDescent="0.25">
      <c r="A60" t="s">
        <v>290</v>
      </c>
      <c r="B60" t="s">
        <v>291</v>
      </c>
      <c r="C60">
        <v>52</v>
      </c>
      <c r="D60">
        <v>2224</v>
      </c>
      <c r="E60" t="s">
        <v>11</v>
      </c>
      <c r="F60" t="s">
        <v>292</v>
      </c>
      <c r="G60" t="s">
        <v>293</v>
      </c>
      <c r="H60" t="s">
        <v>269</v>
      </c>
      <c r="I60" t="s">
        <v>294</v>
      </c>
    </row>
    <row r="61" spans="1:9" x14ac:dyDescent="0.25">
      <c r="A61" t="s">
        <v>295</v>
      </c>
      <c r="B61" t="s">
        <v>296</v>
      </c>
      <c r="C61">
        <v>37</v>
      </c>
      <c r="D61">
        <v>1675</v>
      </c>
      <c r="E61" t="s">
        <v>11</v>
      </c>
      <c r="F61" t="s">
        <v>297</v>
      </c>
      <c r="G61" t="s">
        <v>298</v>
      </c>
      <c r="H61" t="s">
        <v>269</v>
      </c>
      <c r="I61" t="s">
        <v>299</v>
      </c>
    </row>
    <row r="62" spans="1:9" x14ac:dyDescent="0.25">
      <c r="A62" t="s">
        <v>300</v>
      </c>
      <c r="B62" t="s">
        <v>301</v>
      </c>
      <c r="C62">
        <v>40</v>
      </c>
      <c r="D62">
        <v>1257</v>
      </c>
      <c r="E62" t="s">
        <v>11</v>
      </c>
      <c r="F62" t="s">
        <v>302</v>
      </c>
      <c r="G62" t="s">
        <v>303</v>
      </c>
      <c r="H62" t="s">
        <v>269</v>
      </c>
      <c r="I62" t="s">
        <v>304</v>
      </c>
    </row>
    <row r="63" spans="1:9" x14ac:dyDescent="0.25">
      <c r="A63" t="s">
        <v>305</v>
      </c>
      <c r="B63" t="s">
        <v>306</v>
      </c>
      <c r="C63">
        <v>28</v>
      </c>
      <c r="D63">
        <v>1253</v>
      </c>
      <c r="E63" t="s">
        <v>11</v>
      </c>
      <c r="F63" t="s">
        <v>307</v>
      </c>
      <c r="G63" t="s">
        <v>308</v>
      </c>
      <c r="H63" t="s">
        <v>269</v>
      </c>
      <c r="I63" t="s">
        <v>309</v>
      </c>
    </row>
    <row r="64" spans="1:9" x14ac:dyDescent="0.25">
      <c r="A64" t="s">
        <v>310</v>
      </c>
      <c r="B64" t="s">
        <v>311</v>
      </c>
      <c r="C64">
        <v>34</v>
      </c>
      <c r="D64">
        <v>1455</v>
      </c>
      <c r="E64" t="s">
        <v>11</v>
      </c>
      <c r="F64" t="s">
        <v>312</v>
      </c>
      <c r="G64" t="s">
        <v>313</v>
      </c>
      <c r="H64" t="s">
        <v>314</v>
      </c>
      <c r="I64" t="s">
        <v>315</v>
      </c>
    </row>
    <row r="65" spans="1:9" x14ac:dyDescent="0.25">
      <c r="A65" t="s">
        <v>310</v>
      </c>
      <c r="B65" t="s">
        <v>316</v>
      </c>
      <c r="C65">
        <v>29</v>
      </c>
      <c r="D65">
        <v>1609</v>
      </c>
      <c r="E65" t="s">
        <v>11</v>
      </c>
      <c r="F65" t="s">
        <v>317</v>
      </c>
      <c r="G65" t="s">
        <v>318</v>
      </c>
      <c r="H65" t="s">
        <v>314</v>
      </c>
      <c r="I65" t="s">
        <v>319</v>
      </c>
    </row>
    <row r="66" spans="1:9" x14ac:dyDescent="0.25">
      <c r="A66" t="s">
        <v>320</v>
      </c>
      <c r="B66" t="s">
        <v>321</v>
      </c>
      <c r="C66">
        <v>29</v>
      </c>
      <c r="D66">
        <v>1837</v>
      </c>
      <c r="E66" t="s">
        <v>11</v>
      </c>
      <c r="F66" t="s">
        <v>322</v>
      </c>
      <c r="G66" t="s">
        <v>323</v>
      </c>
      <c r="H66" t="s">
        <v>314</v>
      </c>
      <c r="I66" t="s">
        <v>324</v>
      </c>
    </row>
    <row r="67" spans="1:9" x14ac:dyDescent="0.25">
      <c r="A67" t="s">
        <v>325</v>
      </c>
      <c r="B67" t="s">
        <v>326</v>
      </c>
      <c r="C67">
        <v>27</v>
      </c>
      <c r="D67">
        <v>1655</v>
      </c>
      <c r="E67" t="s">
        <v>11</v>
      </c>
      <c r="F67" t="s">
        <v>327</v>
      </c>
      <c r="G67" t="s">
        <v>328</v>
      </c>
      <c r="H67" t="s">
        <v>314</v>
      </c>
      <c r="I67" t="s">
        <v>329</v>
      </c>
    </row>
    <row r="68" spans="1:9" x14ac:dyDescent="0.25">
      <c r="A68" t="s">
        <v>330</v>
      </c>
      <c r="B68" t="s">
        <v>331</v>
      </c>
      <c r="C68">
        <v>46</v>
      </c>
      <c r="D68">
        <v>1163</v>
      </c>
      <c r="E68" t="s">
        <v>18</v>
      </c>
      <c r="F68" t="s">
        <v>332</v>
      </c>
      <c r="G68" t="s">
        <v>333</v>
      </c>
      <c r="H68" t="s">
        <v>314</v>
      </c>
      <c r="I68" t="s">
        <v>334</v>
      </c>
    </row>
    <row r="69" spans="1:9" x14ac:dyDescent="0.25">
      <c r="A69" t="s">
        <v>330</v>
      </c>
      <c r="B69" t="s">
        <v>335</v>
      </c>
      <c r="C69">
        <v>34</v>
      </c>
      <c r="D69">
        <v>1359</v>
      </c>
      <c r="E69" t="s">
        <v>18</v>
      </c>
      <c r="F69" t="s">
        <v>336</v>
      </c>
      <c r="G69" t="s">
        <v>337</v>
      </c>
      <c r="H69" t="s">
        <v>314</v>
      </c>
      <c r="I69" t="s">
        <v>338</v>
      </c>
    </row>
    <row r="70" spans="1:9" x14ac:dyDescent="0.25">
      <c r="A70" t="s">
        <v>339</v>
      </c>
      <c r="B70" t="s">
        <v>340</v>
      </c>
      <c r="C70">
        <v>37</v>
      </c>
      <c r="D70">
        <v>2189</v>
      </c>
      <c r="E70" t="s">
        <v>18</v>
      </c>
      <c r="F70" t="s">
        <v>341</v>
      </c>
      <c r="G70" t="s">
        <v>342</v>
      </c>
      <c r="H70" t="s">
        <v>314</v>
      </c>
      <c r="I70" t="s">
        <v>343</v>
      </c>
    </row>
    <row r="71" spans="1:9" x14ac:dyDescent="0.25">
      <c r="A71" t="s">
        <v>344</v>
      </c>
      <c r="B71" t="s">
        <v>345</v>
      </c>
      <c r="C71">
        <v>46</v>
      </c>
      <c r="D71">
        <v>1442</v>
      </c>
      <c r="E71" t="s">
        <v>18</v>
      </c>
      <c r="F71" t="s">
        <v>346</v>
      </c>
      <c r="G71" t="s">
        <v>347</v>
      </c>
      <c r="H71" t="s">
        <v>314</v>
      </c>
      <c r="I71" t="s">
        <v>348</v>
      </c>
    </row>
    <row r="72" spans="1:9" x14ac:dyDescent="0.25">
      <c r="A72" t="s">
        <v>320</v>
      </c>
      <c r="B72" t="s">
        <v>349</v>
      </c>
      <c r="C72">
        <v>39</v>
      </c>
      <c r="D72">
        <v>1176</v>
      </c>
      <c r="E72" t="s">
        <v>18</v>
      </c>
      <c r="F72" t="s">
        <v>350</v>
      </c>
      <c r="G72" t="s">
        <v>351</v>
      </c>
      <c r="H72" t="s">
        <v>352</v>
      </c>
      <c r="I72" t="s">
        <v>353</v>
      </c>
    </row>
    <row r="73" spans="1:9" x14ac:dyDescent="0.25">
      <c r="A73" t="s">
        <v>354</v>
      </c>
      <c r="B73" t="s">
        <v>355</v>
      </c>
      <c r="C73">
        <v>47</v>
      </c>
      <c r="D73">
        <v>1994</v>
      </c>
      <c r="E73" t="s">
        <v>18</v>
      </c>
      <c r="F73" t="s">
        <v>356</v>
      </c>
      <c r="G73" t="s">
        <v>357</v>
      </c>
      <c r="H73" t="s">
        <v>352</v>
      </c>
      <c r="I73" t="s">
        <v>358</v>
      </c>
    </row>
    <row r="74" spans="1:9" x14ac:dyDescent="0.25">
      <c r="A74" t="s">
        <v>359</v>
      </c>
      <c r="B74" t="s">
        <v>360</v>
      </c>
      <c r="C74">
        <v>43</v>
      </c>
      <c r="D74">
        <v>1015</v>
      </c>
      <c r="E74" t="s">
        <v>18</v>
      </c>
      <c r="F74" t="s">
        <v>361</v>
      </c>
      <c r="G74" t="s">
        <v>362</v>
      </c>
      <c r="H74" t="s">
        <v>352</v>
      </c>
      <c r="I74" t="s">
        <v>363</v>
      </c>
    </row>
    <row r="75" spans="1:9" x14ac:dyDescent="0.25">
      <c r="A75" t="s">
        <v>354</v>
      </c>
      <c r="B75" t="s">
        <v>364</v>
      </c>
      <c r="C75">
        <v>26</v>
      </c>
      <c r="D75">
        <v>2346</v>
      </c>
      <c r="E75" t="s">
        <v>18</v>
      </c>
      <c r="F75" t="s">
        <v>365</v>
      </c>
      <c r="G75" t="s">
        <v>366</v>
      </c>
      <c r="H75" t="s">
        <v>352</v>
      </c>
      <c r="I75" t="s">
        <v>367</v>
      </c>
    </row>
    <row r="76" spans="1:9" x14ac:dyDescent="0.25">
      <c r="A76" t="s">
        <v>359</v>
      </c>
      <c r="B76" t="s">
        <v>368</v>
      </c>
      <c r="C76">
        <v>56</v>
      </c>
      <c r="D76">
        <v>2888</v>
      </c>
      <c r="E76" t="s">
        <v>28</v>
      </c>
      <c r="F76" t="s">
        <v>369</v>
      </c>
      <c r="G76" t="s">
        <v>370</v>
      </c>
      <c r="H76" t="s">
        <v>352</v>
      </c>
      <c r="I76" t="s">
        <v>371</v>
      </c>
    </row>
    <row r="77" spans="1:9" x14ac:dyDescent="0.25">
      <c r="A77" t="s">
        <v>354</v>
      </c>
      <c r="B77" t="s">
        <v>372</v>
      </c>
      <c r="C77">
        <v>26</v>
      </c>
      <c r="D77">
        <v>2750</v>
      </c>
      <c r="E77" t="s">
        <v>28</v>
      </c>
      <c r="F77" t="s">
        <v>373</v>
      </c>
      <c r="G77" t="s">
        <v>374</v>
      </c>
      <c r="H77" t="s">
        <v>352</v>
      </c>
      <c r="I77" t="s">
        <v>367</v>
      </c>
    </row>
    <row r="78" spans="1:9" x14ac:dyDescent="0.25">
      <c r="A78" t="s">
        <v>375</v>
      </c>
      <c r="B78" t="s">
        <v>376</v>
      </c>
      <c r="C78">
        <v>44</v>
      </c>
      <c r="D78">
        <v>1978</v>
      </c>
      <c r="E78" t="s">
        <v>38</v>
      </c>
      <c r="F78" t="s">
        <v>377</v>
      </c>
      <c r="G78" t="s">
        <v>378</v>
      </c>
      <c r="H78" t="s">
        <v>352</v>
      </c>
      <c r="I78" t="s">
        <v>379</v>
      </c>
    </row>
    <row r="79" spans="1:9" x14ac:dyDescent="0.25">
      <c r="A79" t="s">
        <v>380</v>
      </c>
      <c r="B79" t="s">
        <v>381</v>
      </c>
      <c r="C79">
        <v>42</v>
      </c>
      <c r="D79">
        <v>1905</v>
      </c>
      <c r="E79" t="s">
        <v>38</v>
      </c>
      <c r="F79" t="s">
        <v>382</v>
      </c>
      <c r="G79" t="s">
        <v>383</v>
      </c>
      <c r="H79" t="s">
        <v>352</v>
      </c>
      <c r="I79" t="s">
        <v>384</v>
      </c>
    </row>
    <row r="80" spans="1:9" x14ac:dyDescent="0.25">
      <c r="A80" t="s">
        <v>330</v>
      </c>
      <c r="B80" t="s">
        <v>385</v>
      </c>
      <c r="C80">
        <v>22</v>
      </c>
      <c r="D80">
        <v>2044</v>
      </c>
      <c r="E80" t="s">
        <v>165</v>
      </c>
      <c r="F80" t="s">
        <v>386</v>
      </c>
      <c r="G80" t="s">
        <v>387</v>
      </c>
      <c r="H80" t="s">
        <v>352</v>
      </c>
      <c r="I80" t="s">
        <v>379</v>
      </c>
    </row>
    <row r="81" spans="1:9" x14ac:dyDescent="0.25">
      <c r="A81" t="s">
        <v>388</v>
      </c>
      <c r="B81" t="s">
        <v>389</v>
      </c>
      <c r="C81">
        <v>52</v>
      </c>
      <c r="D81">
        <v>1566</v>
      </c>
      <c r="E81" t="s">
        <v>165</v>
      </c>
      <c r="F81" t="s">
        <v>390</v>
      </c>
      <c r="G81" t="s">
        <v>391</v>
      </c>
      <c r="H81" t="s">
        <v>352</v>
      </c>
      <c r="I81" t="s">
        <v>392</v>
      </c>
    </row>
    <row r="82" spans="1:9" x14ac:dyDescent="0.25">
      <c r="A82" t="s">
        <v>393</v>
      </c>
      <c r="B82" t="s">
        <v>394</v>
      </c>
      <c r="C82">
        <v>24</v>
      </c>
      <c r="D82">
        <v>1269</v>
      </c>
      <c r="E82" t="s">
        <v>18</v>
      </c>
      <c r="F82" t="s">
        <v>395</v>
      </c>
      <c r="G82" t="s">
        <v>396</v>
      </c>
      <c r="H82" t="s">
        <v>397</v>
      </c>
      <c r="I82" t="s">
        <v>398</v>
      </c>
    </row>
    <row r="83" spans="1:9" x14ac:dyDescent="0.25">
      <c r="A83" t="s">
        <v>399</v>
      </c>
      <c r="B83" t="s">
        <v>400</v>
      </c>
      <c r="C83">
        <v>24</v>
      </c>
      <c r="D83">
        <v>2120</v>
      </c>
      <c r="E83" t="s">
        <v>18</v>
      </c>
      <c r="F83" t="s">
        <v>401</v>
      </c>
      <c r="G83" t="s">
        <v>402</v>
      </c>
      <c r="H83" t="s">
        <v>397</v>
      </c>
      <c r="I83" t="s">
        <v>398</v>
      </c>
    </row>
    <row r="84" spans="1:9" x14ac:dyDescent="0.25">
      <c r="A84" t="s">
        <v>403</v>
      </c>
      <c r="B84" t="s">
        <v>404</v>
      </c>
      <c r="C84">
        <v>43</v>
      </c>
      <c r="D84">
        <v>1868</v>
      </c>
      <c r="E84" t="s">
        <v>28</v>
      </c>
      <c r="F84" t="s">
        <v>405</v>
      </c>
      <c r="G84" t="s">
        <v>406</v>
      </c>
      <c r="H84" t="s">
        <v>397</v>
      </c>
      <c r="I84" t="s">
        <v>407</v>
      </c>
    </row>
    <row r="85" spans="1:9" x14ac:dyDescent="0.25">
      <c r="A85" t="s">
        <v>408</v>
      </c>
      <c r="B85" t="s">
        <v>409</v>
      </c>
      <c r="C85">
        <v>24</v>
      </c>
      <c r="D85">
        <v>2359</v>
      </c>
      <c r="E85" t="s">
        <v>38</v>
      </c>
      <c r="F85" t="s">
        <v>410</v>
      </c>
      <c r="G85" t="s">
        <v>411</v>
      </c>
      <c r="H85" t="s">
        <v>397</v>
      </c>
      <c r="I85" t="s">
        <v>412</v>
      </c>
    </row>
    <row r="86" spans="1:9" x14ac:dyDescent="0.25">
      <c r="A86" t="s">
        <v>413</v>
      </c>
      <c r="B86" t="s">
        <v>414</v>
      </c>
      <c r="C86">
        <v>34</v>
      </c>
      <c r="D86">
        <v>1819</v>
      </c>
      <c r="E86" t="s">
        <v>38</v>
      </c>
      <c r="F86" t="s">
        <v>415</v>
      </c>
      <c r="G86" t="s">
        <v>416</v>
      </c>
      <c r="H86" t="s">
        <v>397</v>
      </c>
      <c r="I86" t="s">
        <v>412</v>
      </c>
    </row>
    <row r="87" spans="1:9" x14ac:dyDescent="0.25">
      <c r="A87" t="s">
        <v>417</v>
      </c>
      <c r="B87" t="s">
        <v>418</v>
      </c>
      <c r="C87">
        <v>52</v>
      </c>
      <c r="D87">
        <v>1476</v>
      </c>
      <c r="E87" t="s">
        <v>165</v>
      </c>
      <c r="F87" t="s">
        <v>419</v>
      </c>
      <c r="G87" t="s">
        <v>420</v>
      </c>
      <c r="H87" t="s">
        <v>397</v>
      </c>
      <c r="I87" t="s">
        <v>412</v>
      </c>
    </row>
    <row r="88" spans="1:9" x14ac:dyDescent="0.25">
      <c r="A88" t="s">
        <v>421</v>
      </c>
      <c r="B88" t="s">
        <v>422</v>
      </c>
      <c r="C88">
        <v>51</v>
      </c>
      <c r="D88">
        <v>1817</v>
      </c>
      <c r="E88" t="s">
        <v>165</v>
      </c>
      <c r="F88" t="s">
        <v>423</v>
      </c>
      <c r="G88" t="s">
        <v>424</v>
      </c>
      <c r="H88" t="s">
        <v>397</v>
      </c>
      <c r="I88" t="s">
        <v>398</v>
      </c>
    </row>
    <row r="89" spans="1:9" x14ac:dyDescent="0.25">
      <c r="A89" t="s">
        <v>425</v>
      </c>
      <c r="B89" t="s">
        <v>426</v>
      </c>
      <c r="C89">
        <v>52</v>
      </c>
      <c r="D89">
        <v>1081</v>
      </c>
      <c r="E89" t="s">
        <v>18</v>
      </c>
      <c r="F89" t="s">
        <v>427</v>
      </c>
      <c r="G89" t="s">
        <v>428</v>
      </c>
      <c r="H89" t="s">
        <v>429</v>
      </c>
      <c r="I89" t="s">
        <v>430</v>
      </c>
    </row>
    <row r="90" spans="1:9" x14ac:dyDescent="0.25">
      <c r="A90" t="s">
        <v>431</v>
      </c>
      <c r="B90" t="s">
        <v>432</v>
      </c>
      <c r="C90">
        <v>25</v>
      </c>
      <c r="D90">
        <v>2034</v>
      </c>
      <c r="E90" t="s">
        <v>18</v>
      </c>
      <c r="F90" t="s">
        <v>433</v>
      </c>
      <c r="G90" t="s">
        <v>434</v>
      </c>
      <c r="H90" t="s">
        <v>429</v>
      </c>
      <c r="I90" t="s">
        <v>435</v>
      </c>
    </row>
    <row r="91" spans="1:9" x14ac:dyDescent="0.25">
      <c r="A91" t="s">
        <v>436</v>
      </c>
      <c r="B91" t="s">
        <v>437</v>
      </c>
      <c r="C91">
        <v>50</v>
      </c>
      <c r="D91">
        <v>1638</v>
      </c>
      <c r="E91" t="s">
        <v>18</v>
      </c>
      <c r="F91" t="s">
        <v>438</v>
      </c>
      <c r="G91" t="s">
        <v>439</v>
      </c>
      <c r="H91" t="s">
        <v>429</v>
      </c>
      <c r="I91" t="s">
        <v>440</v>
      </c>
    </row>
    <row r="92" spans="1:9" x14ac:dyDescent="0.25">
      <c r="A92" t="s">
        <v>431</v>
      </c>
      <c r="B92" t="s">
        <v>441</v>
      </c>
      <c r="C92">
        <v>52</v>
      </c>
      <c r="D92">
        <v>1587</v>
      </c>
      <c r="E92" t="s">
        <v>18</v>
      </c>
      <c r="F92" t="s">
        <v>442</v>
      </c>
      <c r="G92" t="s">
        <v>443</v>
      </c>
      <c r="H92" t="s">
        <v>429</v>
      </c>
      <c r="I92" t="s">
        <v>444</v>
      </c>
    </row>
    <row r="93" spans="1:9" x14ac:dyDescent="0.25">
      <c r="A93" t="s">
        <v>445</v>
      </c>
      <c r="B93" t="s">
        <v>446</v>
      </c>
      <c r="C93">
        <v>33</v>
      </c>
      <c r="D93">
        <v>1771</v>
      </c>
      <c r="E93" t="s">
        <v>28</v>
      </c>
      <c r="F93" t="s">
        <v>447</v>
      </c>
      <c r="G93" t="s">
        <v>448</v>
      </c>
      <c r="H93" t="s">
        <v>429</v>
      </c>
      <c r="I93" t="s">
        <v>449</v>
      </c>
    </row>
    <row r="94" spans="1:9" x14ac:dyDescent="0.25">
      <c r="A94" t="s">
        <v>450</v>
      </c>
      <c r="B94" t="s">
        <v>451</v>
      </c>
      <c r="C94">
        <v>46</v>
      </c>
      <c r="D94">
        <v>1935</v>
      </c>
      <c r="E94" t="s">
        <v>28</v>
      </c>
      <c r="F94" t="s">
        <v>452</v>
      </c>
      <c r="G94" t="s">
        <v>453</v>
      </c>
      <c r="H94" t="s">
        <v>429</v>
      </c>
      <c r="I94" t="s">
        <v>454</v>
      </c>
    </row>
    <row r="95" spans="1:9" x14ac:dyDescent="0.25">
      <c r="A95" t="s">
        <v>450</v>
      </c>
      <c r="B95" t="s">
        <v>455</v>
      </c>
      <c r="C95">
        <v>23</v>
      </c>
      <c r="D95">
        <v>1221</v>
      </c>
      <c r="E95" t="s">
        <v>38</v>
      </c>
      <c r="F95" t="s">
        <v>456</v>
      </c>
      <c r="G95" t="s">
        <v>457</v>
      </c>
      <c r="H95" t="s">
        <v>429</v>
      </c>
      <c r="I95" t="s">
        <v>458</v>
      </c>
    </row>
    <row r="96" spans="1:9" x14ac:dyDescent="0.25">
      <c r="A96" t="s">
        <v>459</v>
      </c>
      <c r="B96" t="s">
        <v>460</v>
      </c>
      <c r="C96">
        <v>35</v>
      </c>
      <c r="D96">
        <v>2203</v>
      </c>
      <c r="E96" t="s">
        <v>165</v>
      </c>
      <c r="F96" t="s">
        <v>461</v>
      </c>
      <c r="G96" t="s">
        <v>462</v>
      </c>
      <c r="H96" t="s">
        <v>429</v>
      </c>
      <c r="I96" t="s">
        <v>463</v>
      </c>
    </row>
    <row r="97" spans="1:9" x14ac:dyDescent="0.25">
      <c r="A97" t="s">
        <v>464</v>
      </c>
      <c r="B97" t="s">
        <v>465</v>
      </c>
      <c r="C97">
        <v>43</v>
      </c>
      <c r="D97">
        <v>1907</v>
      </c>
      <c r="E97" t="s">
        <v>165</v>
      </c>
      <c r="F97" t="s">
        <v>466</v>
      </c>
      <c r="G97" t="s">
        <v>467</v>
      </c>
      <c r="H97" t="s">
        <v>429</v>
      </c>
      <c r="I97" t="s">
        <v>468</v>
      </c>
    </row>
    <row r="98" spans="1:9" x14ac:dyDescent="0.25">
      <c r="A98" t="s">
        <v>469</v>
      </c>
      <c r="B98" t="s">
        <v>470</v>
      </c>
      <c r="C98">
        <v>24</v>
      </c>
      <c r="D98">
        <v>2292</v>
      </c>
      <c r="E98" t="s">
        <v>165</v>
      </c>
      <c r="F98" t="s">
        <v>471</v>
      </c>
      <c r="G98" t="s">
        <v>472</v>
      </c>
      <c r="H98" t="s">
        <v>429</v>
      </c>
      <c r="I98" t="s">
        <v>473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uevaTablaDinamica1">
                <anchor moveWithCells="1" sizeWithCells="1">
                  <from>
                    <xdr:col>14</xdr:col>
                    <xdr:colOff>47625</xdr:colOff>
                    <xdr:row>5</xdr:row>
                    <xdr:rowOff>152400</xdr:rowOff>
                  </from>
                  <to>
                    <xdr:col>16</xdr:col>
                    <xdr:colOff>361950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nuevaTablaDinamica2">
                <anchor moveWithCells="1" sizeWithCells="1">
                  <from>
                    <xdr:col>14</xdr:col>
                    <xdr:colOff>685800</xdr:colOff>
                    <xdr:row>18</xdr:row>
                    <xdr:rowOff>123825</xdr:rowOff>
                  </from>
                  <to>
                    <xdr:col>17</xdr:col>
                    <xdr:colOff>238125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G8"/>
  <sheetViews>
    <sheetView showGridLines="0" workbookViewId="0">
      <selection activeCell="B4" sqref="B4"/>
    </sheetView>
  </sheetViews>
  <sheetFormatPr baseColWidth="10" defaultColWidth="11.42578125" defaultRowHeight="15" x14ac:dyDescent="0.25"/>
  <cols>
    <col min="1" max="1" width="12.42578125" bestFit="1" customWidth="1"/>
    <col min="2" max="2" width="11" bestFit="1" customWidth="1"/>
    <col min="3" max="3" width="8.85546875" bestFit="1" customWidth="1"/>
    <col min="4" max="4" width="11.85546875" customWidth="1"/>
    <col min="5" max="5" width="13.42578125" bestFit="1" customWidth="1"/>
    <col min="6" max="6" width="19.42578125" bestFit="1" customWidth="1"/>
    <col min="7" max="7" width="10.140625" customWidth="1"/>
    <col min="8" max="8" width="14.7109375" customWidth="1"/>
  </cols>
  <sheetData>
    <row r="1" spans="1:7" x14ac:dyDescent="0.25">
      <c r="A1" s="1" t="s">
        <v>474</v>
      </c>
    </row>
    <row r="2" spans="1:7" x14ac:dyDescent="0.25">
      <c r="A2" s="2" t="s">
        <v>476</v>
      </c>
      <c r="B2" s="2" t="s">
        <v>481</v>
      </c>
      <c r="C2" s="2" t="s">
        <v>478</v>
      </c>
      <c r="D2" s="2" t="s">
        <v>479</v>
      </c>
      <c r="E2" s="2" t="s">
        <v>480</v>
      </c>
      <c r="F2" s="2" t="s">
        <v>482</v>
      </c>
      <c r="G2" s="2" t="s">
        <v>2</v>
      </c>
    </row>
    <row r="3" spans="1:7" x14ac:dyDescent="0.25">
      <c r="A3" s="3" t="s">
        <v>477</v>
      </c>
      <c r="B3" s="4">
        <v>99</v>
      </c>
      <c r="C3" s="3"/>
      <c r="D3" s="3" t="s">
        <v>508</v>
      </c>
      <c r="E3" s="3"/>
      <c r="F3" s="16"/>
      <c r="G3" s="4">
        <v>66</v>
      </c>
    </row>
    <row r="5" spans="1:7" x14ac:dyDescent="0.25">
      <c r="A5" s="1" t="s">
        <v>475</v>
      </c>
    </row>
    <row r="6" spans="1:7" x14ac:dyDescent="0.25">
      <c r="A6" s="2" t="s">
        <v>476</v>
      </c>
      <c r="B6" s="2" t="s">
        <v>481</v>
      </c>
      <c r="C6" s="2" t="s">
        <v>478</v>
      </c>
      <c r="D6" s="2" t="s">
        <v>479</v>
      </c>
      <c r="E6" s="2" t="s">
        <v>480</v>
      </c>
      <c r="F6" s="2" t="s">
        <v>482</v>
      </c>
      <c r="G6" s="2" t="s">
        <v>2</v>
      </c>
    </row>
    <row r="7" spans="1:7" x14ac:dyDescent="0.25">
      <c r="B7">
        <v>8990122</v>
      </c>
      <c r="C7" t="s">
        <v>504</v>
      </c>
      <c r="D7" t="s">
        <v>505</v>
      </c>
      <c r="E7" t="s">
        <v>506</v>
      </c>
      <c r="F7" t="s">
        <v>507</v>
      </c>
      <c r="G7">
        <v>21</v>
      </c>
    </row>
    <row r="8" spans="1:7" x14ac:dyDescent="0.25">
      <c r="B8">
        <v>99</v>
      </c>
      <c r="D8" t="s">
        <v>508</v>
      </c>
      <c r="G8">
        <v>66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garDatos">
                <anchor moveWithCells="1" sizeWithCells="1">
                  <from>
                    <xdr:col>7</xdr:col>
                    <xdr:colOff>38100</xdr:colOff>
                    <xdr:row>1</xdr:row>
                    <xdr:rowOff>180975</xdr:rowOff>
                  </from>
                  <to>
                    <xdr:col>7</xdr:col>
                    <xdr:colOff>895350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onsultaDatos">
                <anchor moveWithCells="1" sizeWithCells="1">
                  <from>
                    <xdr:col>7</xdr:col>
                    <xdr:colOff>38100</xdr:colOff>
                    <xdr:row>4</xdr:row>
                    <xdr:rowOff>171450</xdr:rowOff>
                  </from>
                  <to>
                    <xdr:col>7</xdr:col>
                    <xdr:colOff>904875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M33"/>
  <sheetViews>
    <sheetView showGridLines="0" workbookViewId="0">
      <selection activeCell="J17" sqref="J17"/>
    </sheetView>
  </sheetViews>
  <sheetFormatPr baseColWidth="10" defaultColWidth="11.42578125" defaultRowHeight="15" x14ac:dyDescent="0.25"/>
  <sheetData>
    <row r="1" spans="1:13" x14ac:dyDescent="0.25">
      <c r="A1" s="13" t="s">
        <v>498</v>
      </c>
      <c r="B1" s="12" t="s">
        <v>497</v>
      </c>
      <c r="C1" s="11" t="s">
        <v>496</v>
      </c>
      <c r="D1" s="10" t="s">
        <v>495</v>
      </c>
      <c r="E1" s="15">
        <f>COUNTA(#REF!)</f>
        <v>1</v>
      </c>
      <c r="F1" s="15">
        <f>MAX(COUNTA(#REF!),COUNTA(#REF!),COUNTA(#REF!),COUNTA(#REF!))</f>
        <v>1</v>
      </c>
    </row>
    <row r="2" spans="1:13" x14ac:dyDescent="0.25">
      <c r="A2" s="8">
        <v>41000</v>
      </c>
      <c r="B2" s="7">
        <v>412030</v>
      </c>
      <c r="C2" s="6">
        <v>185</v>
      </c>
      <c r="D2" s="14"/>
    </row>
    <row r="3" spans="1:13" x14ac:dyDescent="0.25">
      <c r="A3" s="8">
        <v>41000</v>
      </c>
      <c r="B3" s="7">
        <v>412031</v>
      </c>
      <c r="C3" s="6">
        <v>236</v>
      </c>
      <c r="D3" s="5" t="s">
        <v>494</v>
      </c>
    </row>
    <row r="4" spans="1:13" x14ac:dyDescent="0.25">
      <c r="A4" s="8">
        <v>41000</v>
      </c>
      <c r="B4" s="7">
        <v>412032</v>
      </c>
      <c r="C4" s="6">
        <v>450</v>
      </c>
      <c r="D4" s="5" t="s">
        <v>16</v>
      </c>
    </row>
    <row r="5" spans="1:13" x14ac:dyDescent="0.25">
      <c r="A5" s="8">
        <v>41001</v>
      </c>
      <c r="B5" s="7">
        <v>412033</v>
      </c>
      <c r="C5" s="6">
        <v>86</v>
      </c>
      <c r="D5" s="5" t="s">
        <v>489</v>
      </c>
    </row>
    <row r="6" spans="1:13" x14ac:dyDescent="0.25">
      <c r="A6" s="8">
        <v>41001</v>
      </c>
      <c r="B6" s="7">
        <v>412034</v>
      </c>
      <c r="C6" s="6">
        <v>38</v>
      </c>
      <c r="D6" s="5" t="s">
        <v>487</v>
      </c>
    </row>
    <row r="7" spans="1:13" x14ac:dyDescent="0.25">
      <c r="A7" s="8">
        <v>41001</v>
      </c>
      <c r="B7" s="7">
        <v>412035</v>
      </c>
      <c r="C7" s="6">
        <v>46</v>
      </c>
      <c r="D7" s="5" t="s">
        <v>486</v>
      </c>
    </row>
    <row r="8" spans="1:13" x14ac:dyDescent="0.25">
      <c r="A8" s="8">
        <v>41001</v>
      </c>
      <c r="B8" s="7">
        <v>412036</v>
      </c>
      <c r="C8" s="6">
        <v>54</v>
      </c>
      <c r="D8" s="5" t="s">
        <v>483</v>
      </c>
      <c r="J8" s="8"/>
      <c r="K8" s="7"/>
      <c r="L8" s="6"/>
      <c r="M8" s="5"/>
    </row>
    <row r="9" spans="1:13" x14ac:dyDescent="0.25">
      <c r="A9" s="8">
        <v>41002</v>
      </c>
      <c r="B9" s="7">
        <v>412037</v>
      </c>
      <c r="C9" s="6">
        <v>46</v>
      </c>
      <c r="D9" s="5" t="s">
        <v>488</v>
      </c>
      <c r="F9" s="17" t="s">
        <v>495</v>
      </c>
      <c r="G9" s="18" t="s">
        <v>495</v>
      </c>
      <c r="H9" s="18" t="s">
        <v>496</v>
      </c>
      <c r="J9" s="8"/>
      <c r="K9" s="7"/>
      <c r="L9" s="6"/>
      <c r="M9" s="5"/>
    </row>
    <row r="10" spans="1:13" x14ac:dyDescent="0.25">
      <c r="A10" s="8">
        <v>41002</v>
      </c>
      <c r="B10" s="7">
        <v>412038</v>
      </c>
      <c r="C10" s="6">
        <v>55</v>
      </c>
      <c r="D10" s="5" t="s">
        <v>487</v>
      </c>
      <c r="F10" s="19"/>
      <c r="G10" s="19" t="s">
        <v>500</v>
      </c>
      <c r="H10" s="19" t="s">
        <v>501</v>
      </c>
      <c r="J10" s="8"/>
      <c r="K10" s="7"/>
      <c r="L10" s="6"/>
      <c r="M10" s="5"/>
    </row>
    <row r="11" spans="1:13" x14ac:dyDescent="0.25">
      <c r="A11" s="8">
        <v>41002</v>
      </c>
      <c r="B11" s="7">
        <v>412039</v>
      </c>
      <c r="C11" s="6">
        <v>67</v>
      </c>
      <c r="D11" s="5" t="s">
        <v>16</v>
      </c>
      <c r="F11" s="19" t="s">
        <v>502</v>
      </c>
      <c r="G11" s="19" t="s">
        <v>503</v>
      </c>
      <c r="H11" s="19"/>
      <c r="J11" s="8"/>
      <c r="K11" s="7"/>
      <c r="L11" s="6"/>
      <c r="M11" s="5"/>
    </row>
    <row r="12" spans="1:13" x14ac:dyDescent="0.25">
      <c r="A12" s="8">
        <v>41003</v>
      </c>
      <c r="B12" s="7">
        <v>412040</v>
      </c>
      <c r="C12" s="6">
        <v>78</v>
      </c>
      <c r="D12" s="5" t="s">
        <v>486</v>
      </c>
      <c r="J12" s="8"/>
      <c r="K12" s="7"/>
      <c r="L12" s="6"/>
      <c r="M12" s="5"/>
    </row>
    <row r="13" spans="1:13" x14ac:dyDescent="0.25">
      <c r="A13" s="8">
        <v>41003</v>
      </c>
      <c r="B13" s="7">
        <v>412041</v>
      </c>
      <c r="C13" s="6">
        <v>89</v>
      </c>
      <c r="D13" s="5" t="s">
        <v>484</v>
      </c>
      <c r="J13" s="8"/>
      <c r="K13" s="7"/>
      <c r="L13" s="6"/>
      <c r="M13" s="5"/>
    </row>
    <row r="14" spans="1:13" x14ac:dyDescent="0.25">
      <c r="A14" s="8">
        <v>41003</v>
      </c>
      <c r="B14" s="7">
        <v>412042</v>
      </c>
      <c r="C14" s="6">
        <v>78</v>
      </c>
      <c r="D14" s="5" t="s">
        <v>490</v>
      </c>
      <c r="J14" s="8"/>
      <c r="K14" s="7"/>
      <c r="L14" s="6"/>
      <c r="M14" s="5"/>
    </row>
    <row r="15" spans="1:13" x14ac:dyDescent="0.25">
      <c r="A15" s="8">
        <v>41003</v>
      </c>
      <c r="B15" s="7">
        <v>412043</v>
      </c>
      <c r="C15" s="6">
        <v>77</v>
      </c>
      <c r="D15" s="5" t="s">
        <v>493</v>
      </c>
      <c r="F15" s="13" t="s">
        <v>498</v>
      </c>
      <c r="G15" s="12" t="s">
        <v>497</v>
      </c>
      <c r="H15" s="11" t="s">
        <v>496</v>
      </c>
      <c r="I15" s="10" t="s">
        <v>495</v>
      </c>
      <c r="J15" s="8"/>
      <c r="K15" s="7"/>
      <c r="L15" s="6"/>
      <c r="M15" s="5"/>
    </row>
    <row r="16" spans="1:13" x14ac:dyDescent="0.25">
      <c r="A16" s="8">
        <v>41004</v>
      </c>
      <c r="B16" s="7">
        <v>412044</v>
      </c>
      <c r="C16" s="6">
        <v>95</v>
      </c>
      <c r="D16" s="5" t="s">
        <v>492</v>
      </c>
      <c r="F16" s="8">
        <v>41000</v>
      </c>
      <c r="G16" s="7">
        <v>412031</v>
      </c>
      <c r="H16" s="6">
        <v>236</v>
      </c>
      <c r="I16" s="5" t="s">
        <v>494</v>
      </c>
      <c r="J16" s="8"/>
      <c r="K16" s="7"/>
      <c r="L16" s="6"/>
      <c r="M16" s="5"/>
    </row>
    <row r="17" spans="1:13" x14ac:dyDescent="0.25">
      <c r="A17" s="8">
        <v>41004</v>
      </c>
      <c r="B17" s="7">
        <v>412045</v>
      </c>
      <c r="C17" s="6">
        <v>105</v>
      </c>
      <c r="D17" s="5" t="s">
        <v>491</v>
      </c>
      <c r="F17" s="8">
        <v>41000</v>
      </c>
      <c r="G17" s="7">
        <v>412032</v>
      </c>
      <c r="H17" s="6">
        <v>450</v>
      </c>
      <c r="I17" s="5" t="s">
        <v>16</v>
      </c>
      <c r="J17" s="8"/>
      <c r="K17" s="7"/>
      <c r="L17" s="6"/>
      <c r="M17" s="5"/>
    </row>
    <row r="18" spans="1:13" x14ac:dyDescent="0.25">
      <c r="A18" s="8">
        <v>41004</v>
      </c>
      <c r="B18" s="7">
        <v>412046</v>
      </c>
      <c r="C18" s="6">
        <v>54</v>
      </c>
      <c r="D18" s="5" t="s">
        <v>310</v>
      </c>
      <c r="F18" s="8">
        <v>41001</v>
      </c>
      <c r="G18" s="7">
        <v>412035</v>
      </c>
      <c r="H18" s="6">
        <v>46</v>
      </c>
      <c r="I18" s="5" t="s">
        <v>486</v>
      </c>
      <c r="J18" s="8"/>
      <c r="K18" s="7"/>
      <c r="L18" s="6"/>
      <c r="M18" s="5"/>
    </row>
    <row r="19" spans="1:13" x14ac:dyDescent="0.25">
      <c r="A19" s="8">
        <v>41005</v>
      </c>
      <c r="B19" s="7">
        <v>412047</v>
      </c>
      <c r="C19" s="6">
        <v>46</v>
      </c>
      <c r="D19" s="5" t="s">
        <v>490</v>
      </c>
      <c r="F19" s="8">
        <v>41001</v>
      </c>
      <c r="G19" s="7">
        <v>412036</v>
      </c>
      <c r="H19" s="6">
        <v>54</v>
      </c>
      <c r="I19" s="5" t="s">
        <v>483</v>
      </c>
      <c r="J19" s="8"/>
      <c r="K19" s="7"/>
      <c r="L19" s="6"/>
      <c r="M19" s="5"/>
    </row>
    <row r="20" spans="1:13" x14ac:dyDescent="0.25">
      <c r="A20" s="8">
        <v>41005</v>
      </c>
      <c r="B20" s="7">
        <v>412048</v>
      </c>
      <c r="C20" s="6">
        <v>55</v>
      </c>
      <c r="D20" s="5" t="s">
        <v>486</v>
      </c>
      <c r="F20" s="8">
        <v>41002</v>
      </c>
      <c r="G20" s="7">
        <v>412037</v>
      </c>
      <c r="H20" s="6">
        <v>46</v>
      </c>
      <c r="I20" s="5" t="s">
        <v>488</v>
      </c>
      <c r="J20" s="9"/>
      <c r="K20" s="7"/>
      <c r="L20" s="6"/>
      <c r="M20" s="5"/>
    </row>
    <row r="21" spans="1:13" x14ac:dyDescent="0.25">
      <c r="A21" s="8">
        <v>41005</v>
      </c>
      <c r="B21" s="7">
        <v>412049</v>
      </c>
      <c r="C21" s="6">
        <v>67</v>
      </c>
      <c r="D21" s="5" t="s">
        <v>16</v>
      </c>
      <c r="F21" s="8">
        <v>41002</v>
      </c>
      <c r="G21" s="7">
        <v>412039</v>
      </c>
      <c r="H21" s="6">
        <v>67</v>
      </c>
      <c r="I21" s="5" t="s">
        <v>16</v>
      </c>
      <c r="J21" s="9"/>
      <c r="K21" s="7"/>
      <c r="L21" s="6"/>
      <c r="M21" s="5"/>
    </row>
    <row r="22" spans="1:13" x14ac:dyDescent="0.25">
      <c r="A22" s="8">
        <v>41006</v>
      </c>
      <c r="B22" s="7">
        <v>412050</v>
      </c>
      <c r="C22" s="6">
        <v>59</v>
      </c>
      <c r="D22" s="5" t="s">
        <v>300</v>
      </c>
      <c r="F22" s="8">
        <v>41003</v>
      </c>
      <c r="G22" s="7">
        <v>412040</v>
      </c>
      <c r="H22" s="6">
        <v>78</v>
      </c>
      <c r="I22" s="5" t="s">
        <v>486</v>
      </c>
      <c r="J22" s="9"/>
      <c r="K22" s="7"/>
      <c r="L22" s="6"/>
      <c r="M22" s="5"/>
    </row>
    <row r="23" spans="1:13" x14ac:dyDescent="0.25">
      <c r="A23" s="8">
        <v>41006</v>
      </c>
      <c r="B23" s="7">
        <v>412051</v>
      </c>
      <c r="C23" s="6">
        <v>60</v>
      </c>
      <c r="D23" s="5" t="s">
        <v>485</v>
      </c>
      <c r="F23" s="8">
        <v>41003</v>
      </c>
      <c r="G23" s="7">
        <v>412043</v>
      </c>
      <c r="H23" s="6">
        <v>77</v>
      </c>
      <c r="I23" s="5" t="s">
        <v>493</v>
      </c>
      <c r="J23" s="8"/>
      <c r="K23" s="7"/>
      <c r="L23" s="6"/>
      <c r="M23" s="5"/>
    </row>
    <row r="24" spans="1:13" x14ac:dyDescent="0.25">
      <c r="A24" s="8">
        <v>41006</v>
      </c>
      <c r="B24" s="7">
        <v>412052</v>
      </c>
      <c r="C24" s="6">
        <v>69</v>
      </c>
      <c r="D24" s="5" t="s">
        <v>489</v>
      </c>
      <c r="F24" s="8">
        <v>41004</v>
      </c>
      <c r="G24" s="7">
        <v>412046</v>
      </c>
      <c r="H24" s="6">
        <v>54</v>
      </c>
      <c r="I24" s="5" t="s">
        <v>310</v>
      </c>
      <c r="J24" s="8"/>
      <c r="K24" s="7"/>
      <c r="L24" s="6"/>
      <c r="M24" s="5"/>
    </row>
    <row r="25" spans="1:13" x14ac:dyDescent="0.25">
      <c r="A25" s="9">
        <v>41007</v>
      </c>
      <c r="B25" s="7">
        <v>412053</v>
      </c>
      <c r="C25" s="6">
        <v>75</v>
      </c>
      <c r="D25" s="5" t="s">
        <v>488</v>
      </c>
      <c r="F25" s="8">
        <v>41005</v>
      </c>
      <c r="G25" s="7">
        <v>412048</v>
      </c>
      <c r="H25" s="6">
        <v>55</v>
      </c>
      <c r="I25" s="5" t="s">
        <v>486</v>
      </c>
      <c r="J25" s="8"/>
      <c r="K25" s="7"/>
      <c r="L25" s="6"/>
      <c r="M25" s="5"/>
    </row>
    <row r="26" spans="1:13" x14ac:dyDescent="0.25">
      <c r="A26" s="9">
        <v>41007</v>
      </c>
      <c r="B26" s="7">
        <v>412054</v>
      </c>
      <c r="C26" s="6">
        <v>88</v>
      </c>
      <c r="D26" s="5" t="s">
        <v>487</v>
      </c>
      <c r="F26" s="8">
        <v>41005</v>
      </c>
      <c r="G26" s="7">
        <v>412049</v>
      </c>
      <c r="H26" s="6">
        <v>67</v>
      </c>
      <c r="I26" s="5" t="s">
        <v>16</v>
      </c>
    </row>
    <row r="27" spans="1:13" x14ac:dyDescent="0.25">
      <c r="A27" s="9">
        <v>41007</v>
      </c>
      <c r="B27" s="7">
        <v>412055</v>
      </c>
      <c r="C27" s="6">
        <v>96</v>
      </c>
      <c r="D27" s="5" t="s">
        <v>486</v>
      </c>
      <c r="F27" s="8">
        <v>41006</v>
      </c>
      <c r="G27" s="7">
        <v>412050</v>
      </c>
      <c r="H27" s="6">
        <v>59</v>
      </c>
      <c r="I27" s="5" t="s">
        <v>300</v>
      </c>
    </row>
    <row r="28" spans="1:13" x14ac:dyDescent="0.25">
      <c r="A28" s="9">
        <v>41008</v>
      </c>
      <c r="B28" s="7">
        <v>412056</v>
      </c>
      <c r="C28" s="6">
        <v>120</v>
      </c>
      <c r="D28" s="5" t="s">
        <v>485</v>
      </c>
      <c r="F28" s="9">
        <v>41007</v>
      </c>
      <c r="G28" s="7">
        <v>412053</v>
      </c>
      <c r="H28" s="6">
        <v>75</v>
      </c>
      <c r="I28" s="5" t="s">
        <v>488</v>
      </c>
    </row>
    <row r="29" spans="1:13" x14ac:dyDescent="0.25">
      <c r="A29" s="9">
        <v>41008</v>
      </c>
      <c r="B29" s="7">
        <v>412057</v>
      </c>
      <c r="C29" s="6">
        <v>250</v>
      </c>
      <c r="D29" s="5" t="s">
        <v>484</v>
      </c>
      <c r="F29" s="9">
        <v>41007</v>
      </c>
      <c r="G29" s="7">
        <v>412055</v>
      </c>
      <c r="H29" s="6">
        <v>96</v>
      </c>
      <c r="I29" s="5" t="s">
        <v>486</v>
      </c>
    </row>
    <row r="30" spans="1:13" x14ac:dyDescent="0.25">
      <c r="A30" s="9">
        <v>41008</v>
      </c>
      <c r="B30" s="7">
        <v>412058</v>
      </c>
      <c r="C30" s="6">
        <v>220</v>
      </c>
      <c r="D30" s="5" t="s">
        <v>483</v>
      </c>
      <c r="F30" s="9">
        <v>41008</v>
      </c>
      <c r="G30" s="7">
        <v>412058</v>
      </c>
      <c r="H30" s="6">
        <v>220</v>
      </c>
      <c r="I30" s="5" t="s">
        <v>483</v>
      </c>
    </row>
    <row r="31" spans="1:13" x14ac:dyDescent="0.25">
      <c r="A31" s="8">
        <v>41000</v>
      </c>
      <c r="B31" s="7">
        <v>412032</v>
      </c>
      <c r="C31" s="6">
        <v>450</v>
      </c>
      <c r="D31" s="5" t="s">
        <v>16</v>
      </c>
      <c r="F31" s="8">
        <v>41000</v>
      </c>
      <c r="G31" s="7">
        <v>412032</v>
      </c>
      <c r="H31" s="6">
        <v>450</v>
      </c>
      <c r="I31" s="5" t="s">
        <v>16</v>
      </c>
    </row>
    <row r="32" spans="1:13" x14ac:dyDescent="0.25">
      <c r="A32" s="8">
        <v>41000</v>
      </c>
      <c r="B32" s="7">
        <v>412032</v>
      </c>
      <c r="C32" s="6">
        <v>450</v>
      </c>
      <c r="D32" s="5" t="s">
        <v>16</v>
      </c>
      <c r="F32" s="8">
        <v>41000</v>
      </c>
      <c r="G32" s="7">
        <v>412032</v>
      </c>
      <c r="H32" s="6">
        <v>450</v>
      </c>
      <c r="I32" s="5" t="s">
        <v>16</v>
      </c>
    </row>
    <row r="33" spans="1:9" x14ac:dyDescent="0.25">
      <c r="A33" s="8">
        <v>41000</v>
      </c>
      <c r="B33" s="7">
        <v>412032</v>
      </c>
      <c r="C33" s="6">
        <v>450</v>
      </c>
      <c r="D33" s="5" t="s">
        <v>16</v>
      </c>
      <c r="F33" s="8">
        <v>41000</v>
      </c>
      <c r="G33" s="7">
        <v>412032</v>
      </c>
      <c r="H33" s="6">
        <v>450</v>
      </c>
      <c r="I33" s="5" t="s">
        <v>16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filtro">
                <anchor moveWithCells="1" sizeWithCells="1">
                  <from>
                    <xdr:col>8</xdr:col>
                    <xdr:colOff>723900</xdr:colOff>
                    <xdr:row>8</xdr:row>
                    <xdr:rowOff>0</xdr:rowOff>
                  </from>
                  <to>
                    <xdr:col>10</xdr:col>
                    <xdr:colOff>657225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borrarfiltro">
                <anchor moveWithCells="1" sizeWithCells="1">
                  <from>
                    <xdr:col>11</xdr:col>
                    <xdr:colOff>47625</xdr:colOff>
                    <xdr:row>7</xdr:row>
                    <xdr:rowOff>180975</xdr:rowOff>
                  </from>
                  <to>
                    <xdr:col>12</xdr:col>
                    <xdr:colOff>666750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Pregunta01</vt:lpstr>
      <vt:lpstr>Pregunta02</vt:lpstr>
      <vt:lpstr>Pregunta03</vt:lpstr>
      <vt:lpstr>Pregunta04</vt:lpstr>
      <vt:lpstr>Pregunta04!Área_de_extracción</vt:lpstr>
      <vt:lpstr>Pregunta04!Criterios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DUIS</cp:lastModifiedBy>
  <dcterms:created xsi:type="dcterms:W3CDTF">2014-11-15T12:22:08Z</dcterms:created>
  <dcterms:modified xsi:type="dcterms:W3CDTF">2016-04-16T15:07:17Z</dcterms:modified>
</cp:coreProperties>
</file>